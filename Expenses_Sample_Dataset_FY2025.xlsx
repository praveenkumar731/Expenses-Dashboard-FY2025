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Praveen\Downloads\"/>
    </mc:Choice>
  </mc:AlternateContent>
  <xr:revisionPtr revIDLastSave="0" documentId="13_ncr:1_{CCBAB361-351E-446F-BDAF-D2AA5EE2A80B}" xr6:coauthVersionLast="47" xr6:coauthVersionMax="47" xr10:uidLastSave="{00000000-0000-0000-0000-000000000000}"/>
  <bookViews>
    <workbookView xWindow="-108" yWindow="-108" windowWidth="23256" windowHeight="12456" tabRatio="500" xr2:uid="{00000000-000D-0000-FFFF-FFFF00000000}"/>
  </bookViews>
  <sheets>
    <sheet name="Dashboard" sheetId="4" r:id="rId1"/>
    <sheet name="Data" sheetId="1" r:id="rId2"/>
    <sheet name="Pivot" sheetId="3" r:id="rId3"/>
  </sheets>
  <definedNames>
    <definedName name="Slicer_Department">#N/A</definedName>
    <definedName name="Slicer_Month">#N/A</definedName>
  </definedNames>
  <calcPr calcId="191029" iterateDelta="1E-4"/>
  <pivotCaches>
    <pivotCache cacheId="6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F5" i="4" l="1"/>
  <c r="AF6" i="4" s="1"/>
  <c r="AF4" i="4"/>
  <c r="AF3" i="4"/>
  <c r="AF2" i="4"/>
  <c r="AF7" i="4" s="1"/>
  <c r="O57" i="3"/>
  <c r="N57" i="3"/>
  <c r="M57" i="3"/>
  <c r="O56" i="3"/>
  <c r="N56" i="3"/>
  <c r="M56" i="3"/>
  <c r="O55" i="3"/>
  <c r="N55" i="3"/>
  <c r="M55" i="3"/>
  <c r="O54" i="3"/>
  <c r="N54" i="3"/>
  <c r="M54" i="3"/>
  <c r="O53" i="3"/>
  <c r="N53" i="3"/>
  <c r="M53" i="3"/>
  <c r="O52" i="3"/>
  <c r="N52" i="3"/>
  <c r="M52" i="3"/>
  <c r="O51" i="3"/>
  <c r="N51" i="3"/>
  <c r="M51" i="3"/>
  <c r="K55" i="3"/>
  <c r="J55" i="3"/>
  <c r="K54" i="3"/>
  <c r="J54" i="3"/>
  <c r="K53" i="3"/>
  <c r="J53" i="3"/>
  <c r="K52" i="3"/>
  <c r="J52" i="3"/>
  <c r="K51" i="3"/>
  <c r="J51" i="3"/>
  <c r="H62" i="3"/>
  <c r="G62" i="3"/>
  <c r="H61" i="3"/>
  <c r="G61" i="3"/>
  <c r="H60" i="3"/>
  <c r="G60" i="3"/>
  <c r="H59" i="3"/>
  <c r="G59" i="3"/>
  <c r="H58" i="3"/>
  <c r="G58" i="3"/>
  <c r="H57" i="3"/>
  <c r="G57" i="3"/>
  <c r="H56" i="3"/>
  <c r="G56" i="3"/>
  <c r="H55" i="3"/>
  <c r="G55" i="3"/>
  <c r="H54" i="3"/>
  <c r="G54" i="3"/>
  <c r="H53" i="3"/>
  <c r="G53" i="3"/>
  <c r="H52" i="3"/>
  <c r="G52" i="3"/>
  <c r="H51" i="3"/>
  <c r="G51" i="3"/>
  <c r="E58" i="3"/>
  <c r="D58" i="3"/>
  <c r="E57" i="3"/>
  <c r="D57" i="3"/>
  <c r="E56" i="3"/>
  <c r="D56" i="3"/>
  <c r="E55" i="3"/>
  <c r="D55" i="3"/>
  <c r="E54" i="3"/>
  <c r="D54" i="3"/>
  <c r="E53" i="3"/>
  <c r="D53" i="3"/>
  <c r="E52" i="3"/>
  <c r="D52" i="3"/>
  <c r="E51" i="3"/>
  <c r="D51" i="3"/>
  <c r="B57" i="3"/>
  <c r="A57" i="3"/>
  <c r="B56" i="3"/>
  <c r="A56" i="3"/>
  <c r="B55" i="3"/>
  <c r="A55" i="3"/>
  <c r="B54" i="3"/>
  <c r="A54" i="3"/>
  <c r="B53" i="3"/>
  <c r="A53" i="3"/>
  <c r="B52" i="3"/>
  <c r="A52" i="3"/>
  <c r="B51" i="3"/>
  <c r="A51" i="3"/>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alcChain>
</file>

<file path=xl/sharedStrings.xml><?xml version="1.0" encoding="utf-8"?>
<sst xmlns="http://schemas.openxmlformats.org/spreadsheetml/2006/main" count="973" uniqueCount="220">
  <si>
    <t>Expense ID</t>
  </si>
  <si>
    <t>Date</t>
  </si>
  <si>
    <t>Department</t>
  </si>
  <si>
    <t>Category</t>
  </si>
  <si>
    <t>Amount (INR)</t>
  </si>
  <si>
    <t>Payment Method</t>
  </si>
  <si>
    <t>Approved</t>
  </si>
  <si>
    <t>Budget Allocated</t>
  </si>
  <si>
    <t>Budget Remaining</t>
  </si>
  <si>
    <t>EXP0151</t>
  </si>
  <si>
    <t>Operations</t>
  </si>
  <si>
    <t>Miscellaneous</t>
  </si>
  <si>
    <t>Bank Transfer</t>
  </si>
  <si>
    <t>Yes</t>
  </si>
  <si>
    <t>EXP0086</t>
  </si>
  <si>
    <t>Admin</t>
  </si>
  <si>
    <t>Office Supplies</t>
  </si>
  <si>
    <t>EXP0097</t>
  </si>
  <si>
    <t>IT</t>
  </si>
  <si>
    <t>Training</t>
  </si>
  <si>
    <t>UPI</t>
  </si>
  <si>
    <t>EXP0122</t>
  </si>
  <si>
    <t>Sales</t>
  </si>
  <si>
    <t>EXP0066</t>
  </si>
  <si>
    <t>Marketing</t>
  </si>
  <si>
    <t>Client Entertainment</t>
  </si>
  <si>
    <t>EXP0101</t>
  </si>
  <si>
    <t>Equipment</t>
  </si>
  <si>
    <t>EXP0099</t>
  </si>
  <si>
    <t>HR</t>
  </si>
  <si>
    <t>EXP0034</t>
  </si>
  <si>
    <t>EXP0165</t>
  </si>
  <si>
    <t>EXP0169</t>
  </si>
  <si>
    <t>Finance</t>
  </si>
  <si>
    <t>Cash</t>
  </si>
  <si>
    <t>No</t>
  </si>
  <si>
    <t>EXP0068</t>
  </si>
  <si>
    <t>EXP0063</t>
  </si>
  <si>
    <t>Utilities</t>
  </si>
  <si>
    <t>Credit Card</t>
  </si>
  <si>
    <t>EXP0074</t>
  </si>
  <si>
    <t>Cheque</t>
  </si>
  <si>
    <t>EXP0129</t>
  </si>
  <si>
    <t>EXP0059</t>
  </si>
  <si>
    <t>EXP0038</t>
  </si>
  <si>
    <t>EXP0132</t>
  </si>
  <si>
    <t>EXP0048</t>
  </si>
  <si>
    <t>EXP0054</t>
  </si>
  <si>
    <t>EXP0070</t>
  </si>
  <si>
    <t>EXP0052</t>
  </si>
  <si>
    <t>EXP0053</t>
  </si>
  <si>
    <t>EXP0028</t>
  </si>
  <si>
    <t>EXP0117</t>
  </si>
  <si>
    <t>EXP0150</t>
  </si>
  <si>
    <t>EXP0019</t>
  </si>
  <si>
    <t>Travel</t>
  </si>
  <si>
    <t>EXP0145</t>
  </si>
  <si>
    <t>EXP0170</t>
  </si>
  <si>
    <t>EXP0042</t>
  </si>
  <si>
    <t>EXP0136</t>
  </si>
  <si>
    <t>EXP0002</t>
  </si>
  <si>
    <t>EXP0178</t>
  </si>
  <si>
    <t>EXP0039</t>
  </si>
  <si>
    <t>EXP0108</t>
  </si>
  <si>
    <t>Software</t>
  </si>
  <si>
    <t>EXP0156</t>
  </si>
  <si>
    <t>EXP0088</t>
  </si>
  <si>
    <t>EXP0029</t>
  </si>
  <si>
    <t>EXP0060</t>
  </si>
  <si>
    <t>EXP0159</t>
  </si>
  <si>
    <t>EXP0017</t>
  </si>
  <si>
    <t>EXP0158</t>
  </si>
  <si>
    <t>EXP0141</t>
  </si>
  <si>
    <t>EXP0094</t>
  </si>
  <si>
    <t>EXP0057</t>
  </si>
  <si>
    <t>EXP0137</t>
  </si>
  <si>
    <t>EXP0005</t>
  </si>
  <si>
    <t>EXP0146</t>
  </si>
  <si>
    <t>EXP0024</t>
  </si>
  <si>
    <t>EXP0173</t>
  </si>
  <si>
    <t>EXP0040</t>
  </si>
  <si>
    <t>EXP0078</t>
  </si>
  <si>
    <t>EXP0119</t>
  </si>
  <si>
    <t>EXP0003</t>
  </si>
  <si>
    <t>EXP0107</t>
  </si>
  <si>
    <t>EXP0083</t>
  </si>
  <si>
    <t>EXP0069</t>
  </si>
  <si>
    <t>EXP0125</t>
  </si>
  <si>
    <t>EXP0065</t>
  </si>
  <si>
    <t>EXP0092</t>
  </si>
  <si>
    <t>EXP0174</t>
  </si>
  <si>
    <t>EXP0036</t>
  </si>
  <si>
    <t>EXP0013</t>
  </si>
  <si>
    <t>EXP0032</t>
  </si>
  <si>
    <t>EXP0091</t>
  </si>
  <si>
    <t>EXP0067</t>
  </si>
  <si>
    <t>EXP0102</t>
  </si>
  <si>
    <t>EXP0072</t>
  </si>
  <si>
    <t>EXP0167</t>
  </si>
  <si>
    <t>EXP0012</t>
  </si>
  <si>
    <t>EXP0157</t>
  </si>
  <si>
    <t>EXP0120</t>
  </si>
  <si>
    <t>EXP0139</t>
  </si>
  <si>
    <t>EXP0010</t>
  </si>
  <si>
    <t>EXP0079</t>
  </si>
  <si>
    <t>EXP0027</t>
  </si>
  <si>
    <t>EXP0109</t>
  </si>
  <si>
    <t>EXP0051</t>
  </si>
  <si>
    <t>EXP0073</t>
  </si>
  <si>
    <t>EXP0016</t>
  </si>
  <si>
    <t>EXP0014</t>
  </si>
  <si>
    <t>EXP0148</t>
  </si>
  <si>
    <t>EXP0093</t>
  </si>
  <si>
    <t>EXP0006</t>
  </si>
  <si>
    <t>EXP0113</t>
  </si>
  <si>
    <t>EXP0131</t>
  </si>
  <si>
    <t>EXP0162</t>
  </si>
  <si>
    <t>EXP0112</t>
  </si>
  <si>
    <t>EXP0128</t>
  </si>
  <si>
    <t>EXP0009</t>
  </si>
  <si>
    <t>EXP0114</t>
  </si>
  <si>
    <t>EXP0062</t>
  </si>
  <si>
    <t>EXP0172</t>
  </si>
  <si>
    <t>EXP0008</t>
  </si>
  <si>
    <t>EXP0103</t>
  </si>
  <si>
    <t>EXP0018</t>
  </si>
  <si>
    <t>EXP0031</t>
  </si>
  <si>
    <t>EXP0015</t>
  </si>
  <si>
    <t>EXP0043</t>
  </si>
  <si>
    <t>EXP0121</t>
  </si>
  <si>
    <t>EXP0134</t>
  </si>
  <si>
    <t>EXP0061</t>
  </si>
  <si>
    <t>EXP0023</t>
  </si>
  <si>
    <t>EXP0147</t>
  </si>
  <si>
    <t>EXP0135</t>
  </si>
  <si>
    <t>EXP0176</t>
  </si>
  <si>
    <t>EXP0004</t>
  </si>
  <si>
    <t>EXP0138</t>
  </si>
  <si>
    <t>EXP0044</t>
  </si>
  <si>
    <t>EXP0166</t>
  </si>
  <si>
    <t>EXP0177</t>
  </si>
  <si>
    <t>EXP0095</t>
  </si>
  <si>
    <t>EXP0116</t>
  </si>
  <si>
    <t>EXP0100</t>
  </si>
  <si>
    <t>EXP0164</t>
  </si>
  <si>
    <t>EXP0084</t>
  </si>
  <si>
    <t>EXP0035</t>
  </si>
  <si>
    <t>EXP0045</t>
  </si>
  <si>
    <t>EXP0130</t>
  </si>
  <si>
    <t>EXP0149</t>
  </si>
  <si>
    <t>EXP0025</t>
  </si>
  <si>
    <t>EXP0160</t>
  </si>
  <si>
    <t>EXP0081</t>
  </si>
  <si>
    <t>EXP0115</t>
  </si>
  <si>
    <t>EXP0021</t>
  </si>
  <si>
    <t>EXP0026</t>
  </si>
  <si>
    <t>EXP0047</t>
  </si>
  <si>
    <t>EXP0168</t>
  </si>
  <si>
    <t>EXP0022</t>
  </si>
  <si>
    <t>EXP0071</t>
  </si>
  <si>
    <t>EXP0104</t>
  </si>
  <si>
    <t>EXP0046</t>
  </si>
  <si>
    <t>EXP0098</t>
  </si>
  <si>
    <t>EXP0090</t>
  </si>
  <si>
    <t>EXP0041</t>
  </si>
  <si>
    <t>EXP0124</t>
  </si>
  <si>
    <t>EXP0153</t>
  </si>
  <si>
    <t>EXP0155</t>
  </si>
  <si>
    <t>EXP0064</t>
  </si>
  <si>
    <t>EXP0133</t>
  </si>
  <si>
    <t>EXP0050</t>
  </si>
  <si>
    <t>EXP0180</t>
  </si>
  <si>
    <t>EXP0049</t>
  </si>
  <si>
    <t>EXP0080</t>
  </si>
  <si>
    <t>EXP0161</t>
  </si>
  <si>
    <t>EXP0123</t>
  </si>
  <si>
    <t>EXP0096</t>
  </si>
  <si>
    <t>EXP0033</t>
  </si>
  <si>
    <t>EXP0127</t>
  </si>
  <si>
    <t>EXP0089</t>
  </si>
  <si>
    <t>EXP0142</t>
  </si>
  <si>
    <t>EXP0144</t>
  </si>
  <si>
    <t>EXP0111</t>
  </si>
  <si>
    <t>EXP0007</t>
  </si>
  <si>
    <t>EXP0030</t>
  </si>
  <si>
    <t>EXP0106</t>
  </si>
  <si>
    <t>EXP0152</t>
  </si>
  <si>
    <t>EXP0140</t>
  </si>
  <si>
    <t>EXP0154</t>
  </si>
  <si>
    <t>EXP0058</t>
  </si>
  <si>
    <t>EXP0082</t>
  </si>
  <si>
    <t>EXP0011</t>
  </si>
  <si>
    <t>EXP0001</t>
  </si>
  <si>
    <t>EXP0105</t>
  </si>
  <si>
    <t>EXP0037</t>
  </si>
  <si>
    <t>EXP0056</t>
  </si>
  <si>
    <t>EXP0076</t>
  </si>
  <si>
    <t>EXP0077</t>
  </si>
  <si>
    <t>EXP0175</t>
  </si>
  <si>
    <t>EXP0118</t>
  </si>
  <si>
    <t>EXP0075</t>
  </si>
  <si>
    <t>EXP0020</t>
  </si>
  <si>
    <t>EXP0110</t>
  </si>
  <si>
    <t>EXP0126</t>
  </si>
  <si>
    <t>EXP0171</t>
  </si>
  <si>
    <t>EXP0085</t>
  </si>
  <si>
    <t>EXP0087</t>
  </si>
  <si>
    <t>EXP0163</t>
  </si>
  <si>
    <t>EXP0143</t>
  </si>
  <si>
    <t>EXP0179</t>
  </si>
  <si>
    <t>EXP0055</t>
  </si>
  <si>
    <t>Month</t>
  </si>
  <si>
    <t>Grand Total</t>
  </si>
  <si>
    <t>Sum of Amount (INR)</t>
  </si>
  <si>
    <t>Dec</t>
  </si>
  <si>
    <t>Count of Expense ID</t>
  </si>
  <si>
    <t>Sum of Budget Allocated</t>
  </si>
  <si>
    <t>Sum of Budget Remaining</t>
  </si>
  <si>
    <t>Actual Spent</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</si>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</sst>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quot;K&quot;"/>
    <numFmt numFmtId="166" formatCode="0.0%"/>
  </numFmts>
  <fonts count="4" x14ac:knownFonts="1">
    <font>
      <sz val="11"/>
      <color theme="1"/>
      <name val="Calibri"/>
      <family val="2"/>
      <charset val="1"/>
    </font>
    <font>
      <b/>
      <sz val="11"/>
      <color rgb="FFFFFFFF"/>
      <name val="Cambria"/>
      <family val="1"/>
    </font>
    <font>
      <b/>
      <sz val="11"/>
      <color rgb="FFFFFFFF"/>
      <name val="Calibri"/>
      <family val="2"/>
      <charset val="1"/>
    </font>
    <font>
      <sz val="10"/>
      <color theme="1"/>
      <name val="Aptos"/>
    </font>
  </fonts>
  <fills count="5">
    <fill>
      <patternFill patternType="none"/>
    </fill>
    <fill>
      <patternFill patternType="gray125"/>
    </fill>
    <fill>
      <patternFill patternType="solid">
        <fgColor rgb="FF0F4C1F"/>
        <bgColor rgb="FF333333"/>
      </patternFill>
    </fill>
    <fill>
      <patternFill patternType="solid">
        <fgColor rgb="FF0F4C1F"/>
        <bgColor indexed="64"/>
      </patternFill>
    </fill>
    <fill>
      <patternFill patternType="solid">
        <fgColor rgb="FFF6FAF4"/>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3" fontId="0" fillId="0" borderId="0" xfId="0" applyNumberFormat="1"/>
    <xf numFmtId="165" fontId="0" fillId="0" borderId="0" xfId="0" applyNumberFormat="1"/>
    <xf numFmtId="0" fontId="1" fillId="2" borderId="0" xfId="0" applyFont="1" applyFill="1" applyAlignment="1">
      <alignment horizontal="center"/>
    </xf>
    <xf numFmtId="0" fontId="2" fillId="3" borderId="0" xfId="0" applyFont="1" applyFill="1"/>
    <xf numFmtId="0" fontId="0" fillId="0" borderId="0" xfId="0" pivotButton="1"/>
    <xf numFmtId="0" fontId="3" fillId="0" borderId="0" xfId="0" pivotButton="1" applyFont="1"/>
    <xf numFmtId="0" fontId="3" fillId="0" borderId="0" xfId="0" applyFont="1"/>
    <xf numFmtId="165" fontId="3" fillId="0" borderId="0" xfId="0" applyNumberFormat="1" applyFont="1"/>
    <xf numFmtId="0" fontId="0" fillId="0" borderId="0" xfId="0" applyNumberFormat="1"/>
    <xf numFmtId="3" fontId="3" fillId="0" borderId="0" xfId="0" applyNumberFormat="1" applyFont="1"/>
    <xf numFmtId="0" fontId="3" fillId="4" borderId="0" xfId="0" applyFont="1" applyFill="1"/>
    <xf numFmtId="165" fontId="3" fillId="4" borderId="0" xfId="0" applyNumberFormat="1" applyFont="1" applyFill="1"/>
    <xf numFmtId="3" fontId="3" fillId="4" borderId="0" xfId="0" applyNumberFormat="1" applyFont="1" applyFill="1"/>
    <xf numFmtId="166" fontId="3" fillId="4" borderId="0" xfId="0" applyNumberFormat="1" applyFont="1" applyFill="1"/>
    <xf numFmtId="0" fontId="3" fillId="4" borderId="0" xfId="0" applyFont="1" applyFill="1" applyAlignment="1">
      <alignment vertical="center"/>
    </xf>
  </cellXfs>
  <cellStyles count="1">
    <cellStyle name="Normal" xfId="0" builtinId="0"/>
  </cellStyles>
  <dxfs count="764">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165" formatCode="#,##0,&quot;K&quot;"/>
    </dxf>
    <dxf>
      <numFmt numFmtId="3" formatCode="#,##0"/>
    </dxf>
    <dxf>
      <font>
        <name val="Aptos"/>
      </font>
    </dxf>
    <dxf>
      <font>
        <name val="Aptos"/>
      </font>
    </dxf>
    <dxf>
      <font>
        <name val="Aptos"/>
      </font>
    </dxf>
    <dxf>
      <font>
        <sz val="10"/>
      </font>
    </dxf>
    <dxf>
      <font>
        <sz val="10"/>
      </font>
    </dxf>
    <dxf>
      <font>
        <sz val="10"/>
      </font>
    </dxf>
    <dxf>
      <numFmt numFmtId="3" formatCode="#,##0"/>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numFmt numFmtId="3" formatCode="#,##0"/>
    </dxf>
    <dxf>
      <numFmt numFmtId="165" formatCode="#,##0,&quot;K&quot;"/>
    </dxf>
    <dxf>
      <numFmt numFmtId="3" formatCode="#,##0"/>
    </dxf>
    <dxf>
      <font>
        <name val="Aptos"/>
      </font>
    </dxf>
    <dxf>
      <font>
        <name val="Aptos"/>
      </font>
    </dxf>
    <dxf>
      <font>
        <name val="Aptos"/>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name val="Aptos"/>
      </font>
    </dxf>
    <dxf>
      <font>
        <name val="Aptos"/>
      </font>
    </dxf>
    <dxf>
      <font>
        <name val="Aptos"/>
      </font>
    </dxf>
    <dxf>
      <numFmt numFmtId="3" formatCode="#,##0"/>
    </dxf>
    <dxf>
      <numFmt numFmtId="165" formatCode="#,##0,&quot;K&quot;"/>
    </dxf>
    <dxf>
      <numFmt numFmtId="3" formatCode="#,##0"/>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b/>
        <i val="0"/>
        <strike val="0"/>
        <condense val="0"/>
        <extend val="0"/>
        <outline val="0"/>
        <shadow val="0"/>
        <u val="none"/>
        <vertAlign val="baseline"/>
        <sz val="11"/>
        <color rgb="FFFFFFFF"/>
        <name val="Cambria"/>
        <charset val="1"/>
        <scheme val="none"/>
      </font>
      <fill>
        <patternFill patternType="solid">
          <fgColor rgb="FF333333"/>
          <bgColor rgb="FF0F4C1F"/>
        </patternFill>
      </fill>
      <alignment horizontal="center" vertical="bottom" textRotation="0" wrapText="0" indent="0" justifyLastLine="0" shrinkToFit="0" readingOrder="0"/>
    </dxf>
    <dxf>
      <numFmt numFmtId="165" formatCode="#,##0,&quot;K&quot;"/>
    </dxf>
    <dxf>
      <numFmt numFmtId="165" formatCode="#,##0,&quot;K&quot;"/>
    </dxf>
    <dxf>
      <numFmt numFmtId="165" formatCode="#,##0,&quot;K&quot;"/>
    </dxf>
    <dxf>
      <numFmt numFmtId="164" formatCode="dd\-mmm\-yyyy"/>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F4C1F"/>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Expense by Department</a:t>
            </a:r>
          </a:p>
        </c:rich>
      </c:tx>
      <c:overlay val="0"/>
    </c:title>
    <c:autoTitleDeleted val="0"/>
    <c:plotArea>
      <c:layout/>
      <c:barChart>
        <c:barDir val="col"/>
        <c:grouping val="clustered"/>
        <c:varyColors val="0"/>
        <c:ser>
          <c:idx val="0"/>
          <c:order val="0"/>
          <c:tx>
            <c:strRef>
              <c:f>Pivot!$B$50</c:f>
              <c:strCache>
                <c:ptCount val="1"/>
                <c:pt idx="0">
                  <c:v>Amount</c:v>
                </c:pt>
              </c:strCache>
            </c:strRef>
          </c:tx>
          <c:spPr>
            <a:gradFill flip="none" rotWithShape="1">
              <a:gsLst>
                <a:gs pos="0">
                  <a:srgbClr val="0A5D1E"/>
                </a:gs>
                <a:gs pos="100000">
                  <a:srgbClr val="278E29"/>
                </a:gs>
              </a:gsLst>
              <a:lin ang="0" scaled="1"/>
              <a:tileRect/>
            </a:gradFill>
            <a:ln>
              <a:solidFill>
                <a:srgbClr val="064219"/>
              </a:solidFill>
            </a:ln>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Pivot!$A$51:$A$57</c:f>
              <c:strCache>
                <c:ptCount val="7"/>
                <c:pt idx="0">
                  <c:v>Admin</c:v>
                </c:pt>
                <c:pt idx="1">
                  <c:v>Finance</c:v>
                </c:pt>
                <c:pt idx="2">
                  <c:v>HR</c:v>
                </c:pt>
                <c:pt idx="3">
                  <c:v>IT</c:v>
                </c:pt>
                <c:pt idx="4">
                  <c:v>Marketing</c:v>
                </c:pt>
                <c:pt idx="5">
                  <c:v>Sales</c:v>
                </c:pt>
                <c:pt idx="6">
                  <c:v>Grand Total</c:v>
                </c:pt>
              </c:strCache>
            </c:strRef>
          </c:cat>
          <c:val>
            <c:numRef>
              <c:f>Pivot!$B$51:$B$57</c:f>
              <c:numCache>
                <c:formatCode>#,##0,"K"</c:formatCode>
                <c:ptCount val="7"/>
                <c:pt idx="0">
                  <c:v>153800</c:v>
                </c:pt>
                <c:pt idx="1">
                  <c:v>10700</c:v>
                </c:pt>
                <c:pt idx="2">
                  <c:v>401500</c:v>
                </c:pt>
                <c:pt idx="3">
                  <c:v>315000</c:v>
                </c:pt>
                <c:pt idx="4">
                  <c:v>166200</c:v>
                </c:pt>
                <c:pt idx="5">
                  <c:v>216900</c:v>
                </c:pt>
                <c:pt idx="6">
                  <c:v>1264100</c:v>
                </c:pt>
              </c:numCache>
            </c:numRef>
          </c:val>
          <c:extLst>
            <c:ext xmlns:c16="http://schemas.microsoft.com/office/drawing/2014/chart" uri="{C3380CC4-5D6E-409C-BE32-E72D297353CC}">
              <c16:uniqueId val="{00000000-6CA0-49D2-A570-CD2682212AC2}"/>
            </c:ext>
          </c:extLst>
        </c:ser>
        <c:dLbls>
          <c:showLegendKey val="0"/>
          <c:showVal val="0"/>
          <c:showCatName val="0"/>
          <c:showSerName val="0"/>
          <c:showPercent val="0"/>
          <c:showBubbleSize val="0"/>
        </c:dLbls>
        <c:gapWidth val="150"/>
        <c:axId val="355412800"/>
        <c:axId val="203743472"/>
      </c:barChart>
      <c:catAx>
        <c:axId val="355412800"/>
        <c:scaling>
          <c:orientation val="minMax"/>
        </c:scaling>
        <c:delete val="0"/>
        <c:axPos val="b"/>
        <c:numFmt formatCode="General" sourceLinked="1"/>
        <c:majorTickMark val="out"/>
        <c:minorTickMark val="none"/>
        <c:tickLblPos val="nextTo"/>
        <c:spPr>
          <a:ln>
            <a:solidFill>
              <a:srgbClr val="D2D2D2"/>
            </a:solidFill>
          </a:ln>
        </c:spPr>
        <c:crossAx val="203743472"/>
        <c:crosses val="autoZero"/>
        <c:auto val="1"/>
        <c:lblAlgn val="ctr"/>
        <c:lblOffset val="100"/>
        <c:noMultiLvlLbl val="0"/>
      </c:catAx>
      <c:valAx>
        <c:axId val="203743472"/>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355412800"/>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Expense by Category</a:t>
            </a:r>
          </a:p>
        </c:rich>
      </c:tx>
      <c:overlay val="0"/>
    </c:title>
    <c:autoTitleDeleted val="0"/>
    <c:plotArea>
      <c:layout>
        <c:manualLayout>
          <c:xMode val="edge"/>
          <c:yMode val="edge"/>
          <c:x val="3.8807114343426194E-2"/>
          <c:y val="0.14098765432098764"/>
          <c:w val="0.28013726931898869"/>
          <c:h val="0.75592592592592589"/>
        </c:manualLayout>
      </c:layout>
      <c:doughnutChart>
        <c:varyColors val="1"/>
        <c:ser>
          <c:idx val="0"/>
          <c:order val="0"/>
          <c:tx>
            <c:strRef>
              <c:f>Pivot!$E$50</c:f>
              <c:strCache>
                <c:ptCount val="1"/>
                <c:pt idx="0">
                  <c:v>Amount</c:v>
                </c:pt>
              </c:strCache>
            </c:strRef>
          </c:tx>
          <c:dPt>
            <c:idx val="0"/>
            <c:bubble3D val="0"/>
            <c:spPr>
              <a:solidFill>
                <a:srgbClr val="0A5D1E"/>
              </a:solidFill>
              <a:ln>
                <a:solidFill>
                  <a:srgbClr val="FFFFFF"/>
                </a:solidFill>
              </a:ln>
            </c:spPr>
            <c:extLst>
              <c:ext xmlns:c16="http://schemas.microsoft.com/office/drawing/2014/chart" uri="{C3380CC4-5D6E-409C-BE32-E72D297353CC}">
                <c16:uniqueId val="{00000001-79E6-4F2E-A383-A3CD785CF6C9}"/>
              </c:ext>
            </c:extLst>
          </c:dPt>
          <c:dPt>
            <c:idx val="1"/>
            <c:bubble3D val="0"/>
            <c:spPr>
              <a:solidFill>
                <a:srgbClr val="84C637"/>
              </a:solidFill>
              <a:ln>
                <a:solidFill>
                  <a:srgbClr val="FFFFFF"/>
                </a:solidFill>
              </a:ln>
            </c:spPr>
            <c:extLst>
              <c:ext xmlns:c16="http://schemas.microsoft.com/office/drawing/2014/chart" uri="{C3380CC4-5D6E-409C-BE32-E72D297353CC}">
                <c16:uniqueId val="{00000002-79E6-4F2E-A383-A3CD785CF6C9}"/>
              </c:ext>
            </c:extLst>
          </c:dPt>
          <c:dPt>
            <c:idx val="2"/>
            <c:bubble3D val="0"/>
            <c:spPr>
              <a:solidFill>
                <a:srgbClr val="5DB13A"/>
              </a:solidFill>
              <a:ln>
                <a:solidFill>
                  <a:srgbClr val="FFFFFF"/>
                </a:solidFill>
              </a:ln>
            </c:spPr>
            <c:extLst>
              <c:ext xmlns:c16="http://schemas.microsoft.com/office/drawing/2014/chart" uri="{C3380CC4-5D6E-409C-BE32-E72D297353CC}">
                <c16:uniqueId val="{00000003-79E6-4F2E-A383-A3CD785CF6C9}"/>
              </c:ext>
            </c:extLst>
          </c:dPt>
          <c:dPt>
            <c:idx val="3"/>
            <c:bubble3D val="0"/>
            <c:spPr>
              <a:solidFill>
                <a:srgbClr val="168A96"/>
              </a:solidFill>
              <a:ln>
                <a:solidFill>
                  <a:srgbClr val="FFFFFF"/>
                </a:solidFill>
              </a:ln>
            </c:spPr>
            <c:extLst>
              <c:ext xmlns:c16="http://schemas.microsoft.com/office/drawing/2014/chart" uri="{C3380CC4-5D6E-409C-BE32-E72D297353CC}">
                <c16:uniqueId val="{00000004-79E6-4F2E-A383-A3CD785CF6C9}"/>
              </c:ext>
            </c:extLst>
          </c:dPt>
          <c:dPt>
            <c:idx val="4"/>
            <c:bubble3D val="0"/>
            <c:spPr>
              <a:solidFill>
                <a:srgbClr val="7030A0"/>
              </a:solidFill>
              <a:ln>
                <a:solidFill>
                  <a:srgbClr val="FFFFFF"/>
                </a:solidFill>
              </a:ln>
            </c:spPr>
            <c:extLst>
              <c:ext xmlns:c16="http://schemas.microsoft.com/office/drawing/2014/chart" uri="{C3380CC4-5D6E-409C-BE32-E72D297353CC}">
                <c16:uniqueId val="{00000005-79E6-4F2E-A383-A3CD785CF6C9}"/>
              </c:ext>
            </c:extLst>
          </c:dPt>
          <c:dPt>
            <c:idx val="5"/>
            <c:bubble3D val="0"/>
            <c:spPr>
              <a:solidFill>
                <a:srgbClr val="618724"/>
              </a:solidFill>
              <a:ln>
                <a:solidFill>
                  <a:srgbClr val="FFFFFF"/>
                </a:solidFill>
              </a:ln>
            </c:spPr>
            <c:extLst>
              <c:ext xmlns:c16="http://schemas.microsoft.com/office/drawing/2014/chart" uri="{C3380CC4-5D6E-409C-BE32-E72D297353CC}">
                <c16:uniqueId val="{00000006-79E6-4F2E-A383-A3CD785CF6C9}"/>
              </c:ext>
            </c:extLst>
          </c:dPt>
          <c:dPt>
            <c:idx val="6"/>
            <c:bubble3D val="0"/>
            <c:spPr>
              <a:solidFill>
                <a:srgbClr val="91A0AA"/>
              </a:solidFill>
              <a:ln>
                <a:solidFill>
                  <a:srgbClr val="FFFFFF"/>
                </a:solidFill>
              </a:ln>
            </c:spPr>
            <c:extLst>
              <c:ext xmlns:c16="http://schemas.microsoft.com/office/drawing/2014/chart" uri="{C3380CC4-5D6E-409C-BE32-E72D297353CC}">
                <c16:uniqueId val="{00000007-79E6-4F2E-A383-A3CD785CF6C9}"/>
              </c:ext>
            </c:extLst>
          </c:dPt>
          <c:dPt>
            <c:idx val="7"/>
            <c:bubble3D val="0"/>
            <c:spPr>
              <a:solidFill>
                <a:srgbClr val="ED7D31"/>
              </a:solidFill>
              <a:ln>
                <a:solidFill>
                  <a:srgbClr val="FFFFFF"/>
                </a:solidFill>
              </a:ln>
            </c:spPr>
            <c:extLst>
              <c:ext xmlns:c16="http://schemas.microsoft.com/office/drawing/2014/chart" uri="{C3380CC4-5D6E-409C-BE32-E72D297353CC}">
                <c16:uniqueId val="{00000008-79E6-4F2E-A383-A3CD785CF6C9}"/>
              </c:ext>
            </c:extLst>
          </c:dPt>
          <c:dLbls>
            <c:numFmt formatCode="#,##0,&quot;K&quot;" sourceLinked="0"/>
            <c:spPr>
              <a:noFill/>
              <a:ln>
                <a:noFill/>
              </a:ln>
              <a:effectLst/>
            </c:spPr>
            <c:txPr>
              <a:bodyPr wrap="square" lIns="38100" tIns="19050" rIns="38100" bIns="19050" anchor="ctr">
                <a:spAutoFit/>
              </a:bodyPr>
              <a:lstStyle/>
              <a:p>
                <a:pPr>
                  <a:defRPr sz="800" b="1">
                    <a:solidFill>
                      <a:srgbClr val="FFFF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Pivot!$D$51:$D$58</c:f>
              <c:strCache>
                <c:ptCount val="8"/>
                <c:pt idx="0">
                  <c:v>Client Entertainment</c:v>
                </c:pt>
                <c:pt idx="1">
                  <c:v>Equipment</c:v>
                </c:pt>
                <c:pt idx="2">
                  <c:v>Miscellaneous</c:v>
                </c:pt>
                <c:pt idx="3">
                  <c:v>Office Supplies</c:v>
                </c:pt>
                <c:pt idx="4">
                  <c:v>Software</c:v>
                </c:pt>
                <c:pt idx="5">
                  <c:v>Training</c:v>
                </c:pt>
                <c:pt idx="6">
                  <c:v>Travel</c:v>
                </c:pt>
                <c:pt idx="7">
                  <c:v>Utilities</c:v>
                </c:pt>
              </c:strCache>
            </c:strRef>
          </c:cat>
          <c:val>
            <c:numRef>
              <c:f>Pivot!$E$51:$E$58</c:f>
              <c:numCache>
                <c:formatCode>#,##0,"K"</c:formatCode>
                <c:ptCount val="8"/>
                <c:pt idx="0">
                  <c:v>241900</c:v>
                </c:pt>
                <c:pt idx="1">
                  <c:v>44400</c:v>
                </c:pt>
                <c:pt idx="2">
                  <c:v>252400</c:v>
                </c:pt>
                <c:pt idx="3">
                  <c:v>205700</c:v>
                </c:pt>
                <c:pt idx="4">
                  <c:v>50000</c:v>
                </c:pt>
                <c:pt idx="5">
                  <c:v>93300</c:v>
                </c:pt>
                <c:pt idx="6">
                  <c:v>315000</c:v>
                </c:pt>
                <c:pt idx="7">
                  <c:v>61400</c:v>
                </c:pt>
              </c:numCache>
            </c:numRef>
          </c:val>
          <c:extLst>
            <c:ext xmlns:c16="http://schemas.microsoft.com/office/drawing/2014/chart" uri="{C3380CC4-5D6E-409C-BE32-E72D297353CC}">
              <c16:uniqueId val="{00000000-79E6-4F2E-A383-A3CD785CF6C9}"/>
            </c:ext>
          </c:extLst>
        </c:ser>
        <c:dLbls>
          <c:showLegendKey val="0"/>
          <c:showVal val="0"/>
          <c:showCatName val="0"/>
          <c:showSerName val="0"/>
          <c:showPercent val="0"/>
          <c:showBubbleSize val="0"/>
          <c:showLeaderLines val="0"/>
        </c:dLbls>
        <c:firstSliceAng val="0"/>
        <c:holeSize val="40"/>
      </c:doughnutChart>
      <c:spPr>
        <a:solidFill>
          <a:srgbClr val="FFFFFF"/>
        </a:solidFill>
      </c:spPr>
    </c:plotArea>
    <c:legend>
      <c:legendPos val="r"/>
      <c:layout>
        <c:manualLayout>
          <c:xMode val="edge"/>
          <c:yMode val="edge"/>
          <c:x val="0.53441113861412881"/>
          <c:y val="0.15067901234567901"/>
          <c:w val="0.46558882536096058"/>
          <c:h val="0.72222222222222221"/>
        </c:manualLayout>
      </c:layout>
      <c:overlay val="0"/>
      <c:txPr>
        <a:bodyPr/>
        <a:lstStyle/>
        <a:p>
          <a:pPr>
            <a:defRPr sz="1200"/>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Monthly Trend</a:t>
            </a:r>
          </a:p>
        </c:rich>
      </c:tx>
      <c:overlay val="0"/>
    </c:title>
    <c:autoTitleDeleted val="0"/>
    <c:plotArea>
      <c:layout/>
      <c:lineChart>
        <c:grouping val="standard"/>
        <c:varyColors val="0"/>
        <c:ser>
          <c:idx val="0"/>
          <c:order val="0"/>
          <c:tx>
            <c:strRef>
              <c:f>Pivot!$H$50</c:f>
              <c:strCache>
                <c:ptCount val="1"/>
                <c:pt idx="0">
                  <c:v>Amount</c:v>
                </c:pt>
              </c:strCache>
            </c:strRef>
          </c:tx>
          <c:spPr>
            <a:ln w="28575">
              <a:solidFill>
                <a:srgbClr val="08581C"/>
              </a:solidFill>
            </a:ln>
          </c:spPr>
          <c:marker>
            <c:symbol val="circle"/>
            <c:size val="6"/>
            <c:spPr>
              <a:solidFill>
                <a:srgbClr val="278E29"/>
              </a:solidFill>
              <a:ln w="28575">
                <a:solidFill>
                  <a:srgbClr val="08581C"/>
                </a:solidFill>
                <a:prstDash val="solid"/>
              </a:ln>
            </c:spPr>
          </c:marker>
          <c:dLbls>
            <c:numFmt formatCode="#,##0,&quot;K&quot;" sourceLinked="0"/>
            <c:spPr>
              <a:noFill/>
              <a:ln>
                <a:noFill/>
              </a:ln>
              <a:effectLst/>
            </c:spPr>
            <c:txPr>
              <a:bodyPr wrap="square" lIns="38100" tIns="19050" rIns="38100" bIns="19050" anchor="ctr">
                <a:spAutoFit/>
              </a:bodyPr>
              <a:lstStyle/>
              <a:p>
                <a:pPr>
                  <a:defRPr sz="800" b="1">
                    <a:solidFill>
                      <a:srgbClr val="054A1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Pivot!$G$51:$G$62</c:f>
              <c:strCache>
                <c:ptCount val="12"/>
                <c:pt idx="0">
                  <c:v>Dec</c:v>
                </c:pt>
                <c:pt idx="1">
                  <c:v>Grand Total</c:v>
                </c:pt>
                <c:pt idx="2">
                  <c:v>0</c:v>
                </c:pt>
                <c:pt idx="3">
                  <c:v>0</c:v>
                </c:pt>
                <c:pt idx="4">
                  <c:v>0</c:v>
                </c:pt>
                <c:pt idx="5">
                  <c:v>0</c:v>
                </c:pt>
                <c:pt idx="6">
                  <c:v>0</c:v>
                </c:pt>
                <c:pt idx="7">
                  <c:v>0</c:v>
                </c:pt>
                <c:pt idx="8">
                  <c:v>0</c:v>
                </c:pt>
                <c:pt idx="9">
                  <c:v>0</c:v>
                </c:pt>
                <c:pt idx="10">
                  <c:v>0</c:v>
                </c:pt>
                <c:pt idx="11">
                  <c:v>0</c:v>
                </c:pt>
              </c:strCache>
            </c:strRef>
          </c:cat>
          <c:val>
            <c:numRef>
              <c:f>Pivot!$H$51:$H$62</c:f>
              <c:numCache>
                <c:formatCode>#,##0,"K"</c:formatCode>
                <c:ptCount val="12"/>
                <c:pt idx="0">
                  <c:v>1264100</c:v>
                </c:pt>
                <c:pt idx="1">
                  <c:v>1264100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3DDD-490F-8B7D-DD14A3228C61}"/>
            </c:ext>
          </c:extLst>
        </c:ser>
        <c:dLbls>
          <c:showLegendKey val="0"/>
          <c:showVal val="0"/>
          <c:showCatName val="0"/>
          <c:showSerName val="0"/>
          <c:showPercent val="0"/>
          <c:showBubbleSize val="0"/>
        </c:dLbls>
        <c:marker val="1"/>
        <c:smooth val="0"/>
        <c:axId val="360809632"/>
        <c:axId val="203738192"/>
      </c:lineChart>
      <c:catAx>
        <c:axId val="360809632"/>
        <c:scaling>
          <c:orientation val="minMax"/>
        </c:scaling>
        <c:delete val="0"/>
        <c:axPos val="b"/>
        <c:numFmt formatCode="General" sourceLinked="1"/>
        <c:majorTickMark val="out"/>
        <c:minorTickMark val="none"/>
        <c:tickLblPos val="nextTo"/>
        <c:spPr>
          <a:ln>
            <a:solidFill>
              <a:srgbClr val="D2D2D2"/>
            </a:solidFill>
          </a:ln>
        </c:spPr>
        <c:crossAx val="203738192"/>
        <c:crosses val="autoZero"/>
        <c:auto val="1"/>
        <c:lblAlgn val="ctr"/>
        <c:lblOffset val="100"/>
        <c:noMultiLvlLbl val="0"/>
      </c:catAx>
      <c:valAx>
        <c:axId val="203738192"/>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360809632"/>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Budget vs Actual</a:t>
            </a:r>
          </a:p>
        </c:rich>
      </c:tx>
      <c:overlay val="0"/>
    </c:title>
    <c:autoTitleDeleted val="0"/>
    <c:plotArea>
      <c:layout/>
      <c:barChart>
        <c:barDir val="col"/>
        <c:grouping val="clustered"/>
        <c:varyColors val="0"/>
        <c:ser>
          <c:idx val="0"/>
          <c:order val="0"/>
          <c:tx>
            <c:strRef>
              <c:f>Pivot!$N$50</c:f>
              <c:strCache>
                <c:ptCount val="1"/>
                <c:pt idx="0">
                  <c:v>Actual Spent</c:v>
                </c:pt>
              </c:strCache>
            </c:strRef>
          </c:tx>
          <c:spPr>
            <a:solidFill>
              <a:srgbClr val="0A5D1E"/>
            </a:soli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Pivot!$M$51:$M$57</c:f>
              <c:strCache>
                <c:ptCount val="7"/>
                <c:pt idx="0">
                  <c:v>Admin</c:v>
                </c:pt>
                <c:pt idx="1">
                  <c:v>Finance</c:v>
                </c:pt>
                <c:pt idx="2">
                  <c:v>HR</c:v>
                </c:pt>
                <c:pt idx="3">
                  <c:v>IT</c:v>
                </c:pt>
                <c:pt idx="4">
                  <c:v>Marketing</c:v>
                </c:pt>
                <c:pt idx="5">
                  <c:v>Sales</c:v>
                </c:pt>
                <c:pt idx="6">
                  <c:v>Grand Total</c:v>
                </c:pt>
              </c:strCache>
            </c:strRef>
          </c:cat>
          <c:val>
            <c:numRef>
              <c:f>Pivot!$N$51:$N$57</c:f>
              <c:numCache>
                <c:formatCode>#,##0,"K"</c:formatCode>
                <c:ptCount val="7"/>
                <c:pt idx="0">
                  <c:v>153800</c:v>
                </c:pt>
                <c:pt idx="1">
                  <c:v>10700</c:v>
                </c:pt>
                <c:pt idx="2">
                  <c:v>401500</c:v>
                </c:pt>
                <c:pt idx="3">
                  <c:v>315000</c:v>
                </c:pt>
                <c:pt idx="4">
                  <c:v>166200</c:v>
                </c:pt>
                <c:pt idx="5">
                  <c:v>216900</c:v>
                </c:pt>
                <c:pt idx="6">
                  <c:v>1264100</c:v>
                </c:pt>
              </c:numCache>
            </c:numRef>
          </c:val>
          <c:extLst>
            <c:ext xmlns:c16="http://schemas.microsoft.com/office/drawing/2014/chart" uri="{C3380CC4-5D6E-409C-BE32-E72D297353CC}">
              <c16:uniqueId val="{00000000-B850-47E5-BDD4-D9DC52EA0DDD}"/>
            </c:ext>
          </c:extLst>
        </c:ser>
        <c:ser>
          <c:idx val="1"/>
          <c:order val="1"/>
          <c:tx>
            <c:strRef>
              <c:f>Pivot!$O$50</c:f>
              <c:strCache>
                <c:ptCount val="1"/>
                <c:pt idx="0">
                  <c:v>Budget Allocated</c:v>
                </c:pt>
              </c:strCache>
            </c:strRef>
          </c:tx>
          <c:spPr>
            <a:solidFill>
              <a:srgbClr val="A6D260"/>
            </a:soli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Pivot!$M$51:$M$57</c:f>
              <c:strCache>
                <c:ptCount val="7"/>
                <c:pt idx="0">
                  <c:v>Admin</c:v>
                </c:pt>
                <c:pt idx="1">
                  <c:v>Finance</c:v>
                </c:pt>
                <c:pt idx="2">
                  <c:v>HR</c:v>
                </c:pt>
                <c:pt idx="3">
                  <c:v>IT</c:v>
                </c:pt>
                <c:pt idx="4">
                  <c:v>Marketing</c:v>
                </c:pt>
                <c:pt idx="5">
                  <c:v>Sales</c:v>
                </c:pt>
                <c:pt idx="6">
                  <c:v>Grand Total</c:v>
                </c:pt>
              </c:strCache>
            </c:strRef>
          </c:cat>
          <c:val>
            <c:numRef>
              <c:f>Pivot!$O$51:$O$57</c:f>
              <c:numCache>
                <c:formatCode>#,##0,"K"</c:formatCode>
                <c:ptCount val="7"/>
                <c:pt idx="0">
                  <c:v>1400000</c:v>
                </c:pt>
                <c:pt idx="1">
                  <c:v>1200000</c:v>
                </c:pt>
                <c:pt idx="2">
                  <c:v>5400000</c:v>
                </c:pt>
                <c:pt idx="3">
                  <c:v>9000000</c:v>
                </c:pt>
                <c:pt idx="4">
                  <c:v>5400000</c:v>
                </c:pt>
                <c:pt idx="5">
                  <c:v>5000000</c:v>
                </c:pt>
                <c:pt idx="6">
                  <c:v>27400000</c:v>
                </c:pt>
              </c:numCache>
            </c:numRef>
          </c:val>
          <c:extLst>
            <c:ext xmlns:c16="http://schemas.microsoft.com/office/drawing/2014/chart" uri="{C3380CC4-5D6E-409C-BE32-E72D297353CC}">
              <c16:uniqueId val="{00000001-B850-47E5-BDD4-D9DC52EA0DDD}"/>
            </c:ext>
          </c:extLst>
        </c:ser>
        <c:dLbls>
          <c:showLegendKey val="0"/>
          <c:showVal val="0"/>
          <c:showCatName val="0"/>
          <c:showSerName val="0"/>
          <c:showPercent val="0"/>
          <c:showBubbleSize val="0"/>
        </c:dLbls>
        <c:gapWidth val="150"/>
        <c:axId val="364861344"/>
        <c:axId val="203742032"/>
      </c:barChart>
      <c:catAx>
        <c:axId val="364861344"/>
        <c:scaling>
          <c:orientation val="minMax"/>
        </c:scaling>
        <c:delete val="0"/>
        <c:axPos val="b"/>
        <c:numFmt formatCode="General" sourceLinked="1"/>
        <c:majorTickMark val="out"/>
        <c:minorTickMark val="none"/>
        <c:tickLblPos val="nextTo"/>
        <c:spPr>
          <a:ln>
            <a:solidFill>
              <a:srgbClr val="D2D2D2"/>
            </a:solidFill>
          </a:ln>
        </c:spPr>
        <c:crossAx val="203742032"/>
        <c:crosses val="autoZero"/>
        <c:auto val="1"/>
        <c:lblAlgn val="ctr"/>
        <c:lblOffset val="100"/>
        <c:noMultiLvlLbl val="0"/>
      </c:catAx>
      <c:valAx>
        <c:axId val="203742032"/>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364861344"/>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Payment Method</a:t>
            </a:r>
          </a:p>
        </c:rich>
      </c:tx>
      <c:overlay val="0"/>
    </c:title>
    <c:autoTitleDeleted val="0"/>
    <c:plotArea>
      <c:layout/>
      <c:barChart>
        <c:barDir val="bar"/>
        <c:grouping val="clustered"/>
        <c:varyColors val="0"/>
        <c:ser>
          <c:idx val="0"/>
          <c:order val="0"/>
          <c:tx>
            <c:strRef>
              <c:f>Pivot!$K$50</c:f>
              <c:strCache>
                <c:ptCount val="1"/>
                <c:pt idx="0">
                  <c:v>Amount</c:v>
                </c:pt>
              </c:strCache>
            </c:strRef>
          </c:tx>
          <c:spPr>
            <a:gradFill flip="none" rotWithShape="1">
              <a:gsLst>
                <a:gs pos="0">
                  <a:srgbClr val="0A5D1E"/>
                </a:gs>
                <a:gs pos="100000">
                  <a:srgbClr val="278E29"/>
                </a:gs>
              </a:gsLst>
              <a:lin ang="5400000" scaled="1"/>
              <a:tileRect/>
            </a:gra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Pivot!$J$51:$J$55</c:f>
              <c:strCache>
                <c:ptCount val="5"/>
                <c:pt idx="0">
                  <c:v>Bank Transfer</c:v>
                </c:pt>
                <c:pt idx="1">
                  <c:v>Cash</c:v>
                </c:pt>
                <c:pt idx="2">
                  <c:v>Cheque</c:v>
                </c:pt>
                <c:pt idx="3">
                  <c:v>Credit Card</c:v>
                </c:pt>
                <c:pt idx="4">
                  <c:v>UPI</c:v>
                </c:pt>
              </c:strCache>
            </c:strRef>
          </c:cat>
          <c:val>
            <c:numRef>
              <c:f>Pivot!$K$51:$K$55</c:f>
              <c:numCache>
                <c:formatCode>#,##0,"K"</c:formatCode>
                <c:ptCount val="5"/>
                <c:pt idx="0">
                  <c:v>85500</c:v>
                </c:pt>
                <c:pt idx="1">
                  <c:v>316500</c:v>
                </c:pt>
                <c:pt idx="2">
                  <c:v>363100</c:v>
                </c:pt>
                <c:pt idx="3">
                  <c:v>59900</c:v>
                </c:pt>
                <c:pt idx="4">
                  <c:v>439100</c:v>
                </c:pt>
              </c:numCache>
            </c:numRef>
          </c:val>
          <c:extLst>
            <c:ext xmlns:c16="http://schemas.microsoft.com/office/drawing/2014/chart" uri="{C3380CC4-5D6E-409C-BE32-E72D297353CC}">
              <c16:uniqueId val="{00000000-3E2B-4288-BC46-83FE1705C5BD}"/>
            </c:ext>
          </c:extLst>
        </c:ser>
        <c:dLbls>
          <c:showLegendKey val="0"/>
          <c:showVal val="0"/>
          <c:showCatName val="0"/>
          <c:showSerName val="0"/>
          <c:showPercent val="0"/>
          <c:showBubbleSize val="0"/>
        </c:dLbls>
        <c:gapWidth val="70"/>
        <c:axId val="359237328"/>
        <c:axId val="203748752"/>
      </c:barChart>
      <c:catAx>
        <c:axId val="359237328"/>
        <c:scaling>
          <c:orientation val="minMax"/>
        </c:scaling>
        <c:delete val="0"/>
        <c:axPos val="l"/>
        <c:numFmt formatCode="General" sourceLinked="1"/>
        <c:majorTickMark val="out"/>
        <c:minorTickMark val="none"/>
        <c:tickLblPos val="nextTo"/>
        <c:spPr>
          <a:ln>
            <a:solidFill>
              <a:srgbClr val="D2D2D2"/>
            </a:solidFill>
          </a:ln>
        </c:spPr>
        <c:crossAx val="203748752"/>
        <c:crosses val="autoZero"/>
        <c:auto val="1"/>
        <c:lblAlgn val="ctr"/>
        <c:lblOffset val="100"/>
        <c:noMultiLvlLbl val="0"/>
      </c:catAx>
      <c:valAx>
        <c:axId val="203748752"/>
        <c:scaling>
          <c:orientation val="minMax"/>
        </c:scaling>
        <c:delete val="0"/>
        <c:axPos val="b"/>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359237328"/>
        <c:crosses val="autoZero"/>
        <c:crossBetween val="between"/>
      </c:valAx>
      <c:spPr>
        <a:solidFill>
          <a:srgbClr val="FFFFFF"/>
        </a:solidFill>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0</xdr:colOff>
      <xdr:row>3</xdr:row>
      <xdr:rowOff>0</xdr:rowOff>
    </xdr:to>
    <xdr:sp macro="" textlink="">
      <xdr:nvSpPr>
        <xdr:cNvPr id="2" name="Header_Banner">
          <a:extLst>
            <a:ext uri="{FF2B5EF4-FFF2-40B4-BE49-F238E27FC236}">
              <a16:creationId xmlns:a16="http://schemas.microsoft.com/office/drawing/2014/main" id="{06B1CDDE-A342-5185-D0E3-04A4EA9EB2CB}"/>
            </a:ext>
          </a:extLst>
        </xdr:cNvPr>
        <xdr:cNvSpPr/>
      </xdr:nvSpPr>
      <xdr:spPr>
        <a:xfrm>
          <a:off x="0" y="0"/>
          <a:ext cx="16687800" cy="822960"/>
        </a:xfrm>
        <a:prstGeom prst="roundRect">
          <a:avLst/>
        </a:prstGeom>
        <a:gradFill flip="none" rotWithShape="1">
          <a:gsLst>
            <a:gs pos="0">
              <a:srgbClr val="064219"/>
            </a:gs>
            <a:gs pos="100000">
              <a:srgbClr val="11701F"/>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0</xdr:row>
      <xdr:rowOff>144780</xdr:rowOff>
    </xdr:from>
    <xdr:to>
      <xdr:col>1</xdr:col>
      <xdr:colOff>129540</xdr:colOff>
      <xdr:row>2</xdr:row>
      <xdr:rowOff>129540</xdr:rowOff>
    </xdr:to>
    <xdr:sp macro="" textlink="">
      <xdr:nvSpPr>
        <xdr:cNvPr id="3" name="Oval 2">
          <a:extLst>
            <a:ext uri="{FF2B5EF4-FFF2-40B4-BE49-F238E27FC236}">
              <a16:creationId xmlns:a16="http://schemas.microsoft.com/office/drawing/2014/main" id="{42DBDEA5-6668-C22E-DE2C-B74AA3484552}"/>
            </a:ext>
          </a:extLst>
        </xdr:cNvPr>
        <xdr:cNvSpPr/>
      </xdr:nvSpPr>
      <xdr:spPr>
        <a:xfrm>
          <a:off x="152400" y="144780"/>
          <a:ext cx="533400" cy="533400"/>
        </a:xfrm>
        <a:prstGeom prst="ellipse">
          <a:avLst/>
        </a:prstGeom>
        <a:solidFill>
          <a:srgbClr val="0C58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b="1">
              <a:solidFill>
                <a:srgbClr val="FFFFFF"/>
              </a:solidFill>
            </a:rPr>
            <a:t>$</a:t>
          </a:r>
        </a:p>
      </xdr:txBody>
    </xdr:sp>
    <xdr:clientData/>
  </xdr:twoCellAnchor>
  <xdr:twoCellAnchor>
    <xdr:from>
      <xdr:col>1</xdr:col>
      <xdr:colOff>231140</xdr:colOff>
      <xdr:row>0</xdr:row>
      <xdr:rowOff>0</xdr:rowOff>
    </xdr:from>
    <xdr:to>
      <xdr:col>25</xdr:col>
      <xdr:colOff>139700</xdr:colOff>
      <xdr:row>3</xdr:row>
      <xdr:rowOff>0</xdr:rowOff>
    </xdr:to>
    <xdr:sp macro="" textlink="">
      <xdr:nvSpPr>
        <xdr:cNvPr id="4" name="TextBox 3">
          <a:extLst>
            <a:ext uri="{FF2B5EF4-FFF2-40B4-BE49-F238E27FC236}">
              <a16:creationId xmlns:a16="http://schemas.microsoft.com/office/drawing/2014/main" id="{8ECF029E-73F6-7BEB-13FF-2ECDA814AA1C}"/>
            </a:ext>
          </a:extLst>
        </xdr:cNvPr>
        <xdr:cNvSpPr txBox="1"/>
      </xdr:nvSpPr>
      <xdr:spPr>
        <a:xfrm>
          <a:off x="787400" y="0"/>
          <a:ext cx="13258800" cy="8229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ctr">
          <a:noAutofit/>
        </a:bodyPr>
        <a:lstStyle/>
        <a:p>
          <a:pPr algn="ctr"/>
          <a:r>
            <a:rPr lang="en-IN" sz="4400" b="1">
              <a:solidFill>
                <a:srgbClr val="FFFFFF"/>
              </a:solidFill>
            </a:rPr>
            <a:t>EXPENSES DASHBOARD | FY 2025</a:t>
          </a:r>
        </a:p>
      </xdr:txBody>
    </xdr:sp>
    <xdr:clientData/>
  </xdr:twoCellAnchor>
  <xdr:twoCellAnchor>
    <xdr:from>
      <xdr:col>25</xdr:col>
      <xdr:colOff>241300</xdr:colOff>
      <xdr:row>0</xdr:row>
      <xdr:rowOff>50800</xdr:rowOff>
    </xdr:from>
    <xdr:to>
      <xdr:col>29</xdr:col>
      <xdr:colOff>429260</xdr:colOff>
      <xdr:row>2</xdr:row>
      <xdr:rowOff>223520</xdr:rowOff>
    </xdr:to>
    <xdr:sp macro="" textlink="">
      <xdr:nvSpPr>
        <xdr:cNvPr id="5" name="TextBox 4">
          <a:extLst>
            <a:ext uri="{FF2B5EF4-FFF2-40B4-BE49-F238E27FC236}">
              <a16:creationId xmlns:a16="http://schemas.microsoft.com/office/drawing/2014/main" id="{BAB66F09-335C-3E9C-17C2-7AAFD7444124}"/>
            </a:ext>
          </a:extLst>
        </xdr:cNvPr>
        <xdr:cNvSpPr txBox="1"/>
      </xdr:nvSpPr>
      <xdr:spPr>
        <a:xfrm>
          <a:off x="14147800" y="50800"/>
          <a:ext cx="2413000" cy="7213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oAutofit/>
        </a:bodyPr>
        <a:lstStyle/>
        <a:p>
          <a:pPr algn="ctr"/>
          <a:r>
            <a:rPr lang="en-IN" sz="1800" b="1">
              <a:solidFill>
                <a:srgbClr val="FFFFFF"/>
              </a:solidFill>
            </a:rPr>
            <a:t>Data as of:</a:t>
          </a:r>
        </a:p>
        <a:p>
          <a:pPr algn="ctr"/>
          <a:r>
            <a:rPr lang="en-IN" sz="1800" b="1">
              <a:solidFill>
                <a:srgbClr val="FFFFFF"/>
              </a:solidFill>
            </a:rPr>
            <a:t>Aug 22, 2026</a:t>
          </a:r>
        </a:p>
      </xdr:txBody>
    </xdr:sp>
    <xdr:clientData/>
  </xdr:twoCellAnchor>
  <xdr:twoCellAnchor>
    <xdr:from>
      <xdr:col>0</xdr:col>
      <xdr:colOff>0</xdr:colOff>
      <xdr:row>4</xdr:row>
      <xdr:rowOff>0</xdr:rowOff>
    </xdr:from>
    <xdr:to>
      <xdr:col>5</xdr:col>
      <xdr:colOff>0</xdr:colOff>
      <xdr:row>8</xdr:row>
      <xdr:rowOff>0</xdr:rowOff>
    </xdr:to>
    <xdr:sp macro="" textlink="">
      <xdr:nvSpPr>
        <xdr:cNvPr id="6" name="Rectangle: Rounded Corners 5">
          <a:extLst>
            <a:ext uri="{FF2B5EF4-FFF2-40B4-BE49-F238E27FC236}">
              <a16:creationId xmlns:a16="http://schemas.microsoft.com/office/drawing/2014/main" id="{C021280E-84AB-41B8-6A6C-97C33E1EC875}"/>
            </a:ext>
          </a:extLst>
        </xdr:cNvPr>
        <xdr:cNvSpPr/>
      </xdr:nvSpPr>
      <xdr:spPr>
        <a:xfrm>
          <a:off x="0" y="1051560"/>
          <a:ext cx="2781300" cy="914400"/>
        </a:xfrm>
        <a:prstGeom prst="roundRect">
          <a:avLst/>
        </a:prstGeom>
        <a:solidFill>
          <a:srgbClr val="FFFFFF"/>
        </a:solidFill>
        <a:ln w="9525">
          <a:solidFill>
            <a:schemeClr val="tx1"/>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127000</xdr:colOff>
      <xdr:row>4</xdr:row>
      <xdr:rowOff>203200</xdr:rowOff>
    </xdr:from>
    <xdr:to>
      <xdr:col>1</xdr:col>
      <xdr:colOff>53340</xdr:colOff>
      <xdr:row>7</xdr:row>
      <xdr:rowOff>0</xdr:rowOff>
    </xdr:to>
    <xdr:sp macro="" textlink="">
      <xdr:nvSpPr>
        <xdr:cNvPr id="7" name="Oval 6">
          <a:extLst>
            <a:ext uri="{FF2B5EF4-FFF2-40B4-BE49-F238E27FC236}">
              <a16:creationId xmlns:a16="http://schemas.microsoft.com/office/drawing/2014/main" id="{4D8C074C-90F2-F0C9-9E38-CBE252B12B90}"/>
            </a:ext>
          </a:extLst>
        </xdr:cNvPr>
        <xdr:cNvSpPr/>
      </xdr:nvSpPr>
      <xdr:spPr>
        <a:xfrm>
          <a:off x="127000" y="1254760"/>
          <a:ext cx="482600" cy="482600"/>
        </a:xfrm>
        <a:prstGeom prst="ellipse">
          <a:avLst/>
        </a:prstGeom>
        <a:gradFill flip="none" rotWithShape="1">
          <a:gsLst>
            <a:gs pos="0">
              <a:srgbClr val="157D18"/>
            </a:gs>
            <a:gs pos="100000">
              <a:srgbClr val="085019"/>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xdr:col>
      <xdr:colOff>129540</xdr:colOff>
      <xdr:row>4</xdr:row>
      <xdr:rowOff>101600</xdr:rowOff>
    </xdr:from>
    <xdr:to>
      <xdr:col>4</xdr:col>
      <xdr:colOff>505460</xdr:colOff>
      <xdr:row>5</xdr:row>
      <xdr:rowOff>152400</xdr:rowOff>
    </xdr:to>
    <xdr:sp macro="" textlink="">
      <xdr:nvSpPr>
        <xdr:cNvPr id="8" name="TextBox 7">
          <a:extLst>
            <a:ext uri="{FF2B5EF4-FFF2-40B4-BE49-F238E27FC236}">
              <a16:creationId xmlns:a16="http://schemas.microsoft.com/office/drawing/2014/main" id="{3C1C77A3-0195-F603-E0E9-5C500D5A392F}"/>
            </a:ext>
          </a:extLst>
        </xdr:cNvPr>
        <xdr:cNvSpPr txBox="1"/>
      </xdr:nvSpPr>
      <xdr:spPr>
        <a:xfrm>
          <a:off x="6858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Total Expenses</a:t>
          </a:r>
        </a:p>
      </xdr:txBody>
    </xdr:sp>
    <xdr:clientData/>
  </xdr:twoCellAnchor>
  <xdr:twoCellAnchor>
    <xdr:from>
      <xdr:col>1</xdr:col>
      <xdr:colOff>129540</xdr:colOff>
      <xdr:row>5</xdr:row>
      <xdr:rowOff>139700</xdr:rowOff>
    </xdr:from>
    <xdr:to>
      <xdr:col>4</xdr:col>
      <xdr:colOff>505460</xdr:colOff>
      <xdr:row>7</xdr:row>
      <xdr:rowOff>114300</xdr:rowOff>
    </xdr:to>
    <xdr:sp macro="" textlink="Dashboard!$AF$2">
      <xdr:nvSpPr>
        <xdr:cNvPr id="9" name="TextBox 8">
          <a:extLst>
            <a:ext uri="{FF2B5EF4-FFF2-40B4-BE49-F238E27FC236}">
              <a16:creationId xmlns:a16="http://schemas.microsoft.com/office/drawing/2014/main" id="{C6D2DBE9-37FB-04C9-B4A9-EA6D1DF5D311}"/>
            </a:ext>
          </a:extLst>
        </xdr:cNvPr>
        <xdr:cNvSpPr txBox="1"/>
      </xdr:nvSpPr>
      <xdr:spPr>
        <a:xfrm>
          <a:off x="6858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D74A976D-735B-45D7-BCBD-66D126989678}" type="TxLink">
            <a:rPr lang="en-US" sz="2800" b="1" i="0" u="none" strike="noStrike">
              <a:solidFill>
                <a:srgbClr val="054A19"/>
              </a:solidFill>
              <a:latin typeface="Aptos"/>
            </a:rPr>
            <a:t>1,264K</a:t>
          </a:fld>
          <a:endParaRPr lang="en-IN" sz="2800" b="1">
            <a:solidFill>
              <a:srgbClr val="054A19"/>
            </a:solidFill>
          </a:endParaRPr>
        </a:p>
      </xdr:txBody>
    </xdr:sp>
    <xdr:clientData/>
  </xdr:twoCellAnchor>
  <xdr:twoCellAnchor>
    <xdr:from>
      <xdr:col>1</xdr:col>
      <xdr:colOff>129540</xdr:colOff>
      <xdr:row>7</xdr:row>
      <xdr:rowOff>50800</xdr:rowOff>
    </xdr:from>
    <xdr:to>
      <xdr:col>4</xdr:col>
      <xdr:colOff>505460</xdr:colOff>
      <xdr:row>7</xdr:row>
      <xdr:rowOff>215900</xdr:rowOff>
    </xdr:to>
    <xdr:sp macro="" textlink="">
      <xdr:nvSpPr>
        <xdr:cNvPr id="10" name="TextBox 9">
          <a:extLst>
            <a:ext uri="{FF2B5EF4-FFF2-40B4-BE49-F238E27FC236}">
              <a16:creationId xmlns:a16="http://schemas.microsoft.com/office/drawing/2014/main" id="{4A4CFF9B-D019-EDDA-2A22-BC179D59FC69}"/>
            </a:ext>
          </a:extLst>
        </xdr:cNvPr>
        <xdr:cNvSpPr txBox="1"/>
      </xdr:nvSpPr>
      <xdr:spPr>
        <a:xfrm>
          <a:off x="6858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Total Spend</a:t>
          </a:r>
        </a:p>
      </xdr:txBody>
    </xdr:sp>
    <xdr:clientData/>
  </xdr:twoCellAnchor>
  <xdr:twoCellAnchor>
    <xdr:from>
      <xdr:col>5</xdr:col>
      <xdr:colOff>0</xdr:colOff>
      <xdr:row>4</xdr:row>
      <xdr:rowOff>0</xdr:rowOff>
    </xdr:from>
    <xdr:to>
      <xdr:col>10</xdr:col>
      <xdr:colOff>0</xdr:colOff>
      <xdr:row>8</xdr:row>
      <xdr:rowOff>0</xdr:rowOff>
    </xdr:to>
    <xdr:sp macro="" textlink="">
      <xdr:nvSpPr>
        <xdr:cNvPr id="11" name="Rectangle: Rounded Corners 10">
          <a:extLst>
            <a:ext uri="{FF2B5EF4-FFF2-40B4-BE49-F238E27FC236}">
              <a16:creationId xmlns:a16="http://schemas.microsoft.com/office/drawing/2014/main" id="{EC96A89C-C9CE-D937-D609-6A3E31D89605}"/>
            </a:ext>
          </a:extLst>
        </xdr:cNvPr>
        <xdr:cNvSpPr/>
      </xdr:nvSpPr>
      <xdr:spPr>
        <a:xfrm>
          <a:off x="2781300" y="1051560"/>
          <a:ext cx="2781300" cy="914400"/>
        </a:xfrm>
        <a:prstGeom prst="roundRect">
          <a:avLst/>
        </a:prstGeom>
        <a:solidFill>
          <a:srgbClr val="FFFFFF"/>
        </a:solidFill>
        <a:ln w="9525">
          <a:solidFill>
            <a:schemeClr val="tx1"/>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127000</xdr:colOff>
      <xdr:row>4</xdr:row>
      <xdr:rowOff>203200</xdr:rowOff>
    </xdr:from>
    <xdr:to>
      <xdr:col>6</xdr:col>
      <xdr:colOff>53340</xdr:colOff>
      <xdr:row>7</xdr:row>
      <xdr:rowOff>0</xdr:rowOff>
    </xdr:to>
    <xdr:sp macro="" textlink="">
      <xdr:nvSpPr>
        <xdr:cNvPr id="12" name="Oval 11">
          <a:extLst>
            <a:ext uri="{FF2B5EF4-FFF2-40B4-BE49-F238E27FC236}">
              <a16:creationId xmlns:a16="http://schemas.microsoft.com/office/drawing/2014/main" id="{CAA7F8CF-F565-0710-B73C-B230C9196B67}"/>
            </a:ext>
          </a:extLst>
        </xdr:cNvPr>
        <xdr:cNvSpPr/>
      </xdr:nvSpPr>
      <xdr:spPr>
        <a:xfrm>
          <a:off x="2908300" y="1254760"/>
          <a:ext cx="482600" cy="482600"/>
        </a:xfrm>
        <a:prstGeom prst="ellipse">
          <a:avLst/>
        </a:prstGeom>
        <a:gradFill flip="none" rotWithShape="1">
          <a:gsLst>
            <a:gs pos="0">
              <a:srgbClr val="439820"/>
            </a:gs>
            <a:gs pos="100000">
              <a:srgbClr val="085019"/>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6</xdr:col>
      <xdr:colOff>129540</xdr:colOff>
      <xdr:row>4</xdr:row>
      <xdr:rowOff>101600</xdr:rowOff>
    </xdr:from>
    <xdr:to>
      <xdr:col>9</xdr:col>
      <xdr:colOff>505460</xdr:colOff>
      <xdr:row>5</xdr:row>
      <xdr:rowOff>152400</xdr:rowOff>
    </xdr:to>
    <xdr:sp macro="" textlink="">
      <xdr:nvSpPr>
        <xdr:cNvPr id="13" name="TextBox 12">
          <a:extLst>
            <a:ext uri="{FF2B5EF4-FFF2-40B4-BE49-F238E27FC236}">
              <a16:creationId xmlns:a16="http://schemas.microsoft.com/office/drawing/2014/main" id="{9D586EDC-6854-476E-8B29-6F804EDE61BD}"/>
            </a:ext>
          </a:extLst>
        </xdr:cNvPr>
        <xdr:cNvSpPr txBox="1"/>
      </xdr:nvSpPr>
      <xdr:spPr>
        <a:xfrm>
          <a:off x="34671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Budget Allocated</a:t>
          </a:r>
        </a:p>
      </xdr:txBody>
    </xdr:sp>
    <xdr:clientData/>
  </xdr:twoCellAnchor>
  <xdr:twoCellAnchor>
    <xdr:from>
      <xdr:col>6</xdr:col>
      <xdr:colOff>129540</xdr:colOff>
      <xdr:row>5</xdr:row>
      <xdr:rowOff>139700</xdr:rowOff>
    </xdr:from>
    <xdr:to>
      <xdr:col>9</xdr:col>
      <xdr:colOff>505460</xdr:colOff>
      <xdr:row>7</xdr:row>
      <xdr:rowOff>114300</xdr:rowOff>
    </xdr:to>
    <xdr:sp macro="" textlink="Dashboard!$AF$3">
      <xdr:nvSpPr>
        <xdr:cNvPr id="14" name="TextBox 13">
          <a:extLst>
            <a:ext uri="{FF2B5EF4-FFF2-40B4-BE49-F238E27FC236}">
              <a16:creationId xmlns:a16="http://schemas.microsoft.com/office/drawing/2014/main" id="{A9463D93-7025-2633-F279-866D3E5C9625}"/>
            </a:ext>
          </a:extLst>
        </xdr:cNvPr>
        <xdr:cNvSpPr txBox="1"/>
      </xdr:nvSpPr>
      <xdr:spPr>
        <a:xfrm>
          <a:off x="34671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E1BC1724-0C2D-4613-9924-857B39542373}" type="TxLink">
            <a:rPr lang="en-US" sz="2800" b="1" i="0" u="none" strike="noStrike">
              <a:solidFill>
                <a:srgbClr val="054A19"/>
              </a:solidFill>
              <a:latin typeface="Aptos"/>
            </a:rPr>
            <a:t>27,400K</a:t>
          </a:fld>
          <a:endParaRPr lang="en-IN" sz="2800" b="1">
            <a:solidFill>
              <a:srgbClr val="054A19"/>
            </a:solidFill>
          </a:endParaRPr>
        </a:p>
      </xdr:txBody>
    </xdr:sp>
    <xdr:clientData/>
  </xdr:twoCellAnchor>
  <xdr:twoCellAnchor>
    <xdr:from>
      <xdr:col>6</xdr:col>
      <xdr:colOff>129540</xdr:colOff>
      <xdr:row>7</xdr:row>
      <xdr:rowOff>50800</xdr:rowOff>
    </xdr:from>
    <xdr:to>
      <xdr:col>9</xdr:col>
      <xdr:colOff>505460</xdr:colOff>
      <xdr:row>7</xdr:row>
      <xdr:rowOff>215900</xdr:rowOff>
    </xdr:to>
    <xdr:sp macro="" textlink="">
      <xdr:nvSpPr>
        <xdr:cNvPr id="15" name="TextBox 14">
          <a:extLst>
            <a:ext uri="{FF2B5EF4-FFF2-40B4-BE49-F238E27FC236}">
              <a16:creationId xmlns:a16="http://schemas.microsoft.com/office/drawing/2014/main" id="{06DB4C93-DD24-5B3C-C2D7-71C337D058E6}"/>
            </a:ext>
          </a:extLst>
        </xdr:cNvPr>
        <xdr:cNvSpPr txBox="1"/>
      </xdr:nvSpPr>
      <xdr:spPr>
        <a:xfrm>
          <a:off x="34671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100% of Plan</a:t>
          </a:r>
        </a:p>
      </xdr:txBody>
    </xdr:sp>
    <xdr:clientData/>
  </xdr:twoCellAnchor>
  <xdr:twoCellAnchor>
    <xdr:from>
      <xdr:col>10</xdr:col>
      <xdr:colOff>0</xdr:colOff>
      <xdr:row>4</xdr:row>
      <xdr:rowOff>0</xdr:rowOff>
    </xdr:from>
    <xdr:to>
      <xdr:col>15</xdr:col>
      <xdr:colOff>0</xdr:colOff>
      <xdr:row>8</xdr:row>
      <xdr:rowOff>0</xdr:rowOff>
    </xdr:to>
    <xdr:sp macro="" textlink="">
      <xdr:nvSpPr>
        <xdr:cNvPr id="16" name="Rectangle: Rounded Corners 15">
          <a:extLst>
            <a:ext uri="{FF2B5EF4-FFF2-40B4-BE49-F238E27FC236}">
              <a16:creationId xmlns:a16="http://schemas.microsoft.com/office/drawing/2014/main" id="{D89AE17E-3F52-3D4E-2F2F-B206A5617F1C}"/>
            </a:ext>
          </a:extLst>
        </xdr:cNvPr>
        <xdr:cNvSpPr/>
      </xdr:nvSpPr>
      <xdr:spPr>
        <a:xfrm>
          <a:off x="5562600" y="1051560"/>
          <a:ext cx="2781300" cy="914400"/>
        </a:xfrm>
        <a:prstGeom prst="roundRect">
          <a:avLst/>
        </a:prstGeom>
        <a:solidFill>
          <a:srgbClr val="FFFFFF"/>
        </a:solidFill>
        <a:ln w="9525">
          <a:solidFill>
            <a:schemeClr val="tx1"/>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127000</xdr:colOff>
      <xdr:row>4</xdr:row>
      <xdr:rowOff>203200</xdr:rowOff>
    </xdr:from>
    <xdr:to>
      <xdr:col>11</xdr:col>
      <xdr:colOff>53340</xdr:colOff>
      <xdr:row>7</xdr:row>
      <xdr:rowOff>0</xdr:rowOff>
    </xdr:to>
    <xdr:sp macro="" textlink="">
      <xdr:nvSpPr>
        <xdr:cNvPr id="17" name="Oval 16">
          <a:extLst>
            <a:ext uri="{FF2B5EF4-FFF2-40B4-BE49-F238E27FC236}">
              <a16:creationId xmlns:a16="http://schemas.microsoft.com/office/drawing/2014/main" id="{7B9982DD-7220-0924-50C1-DD22B0E08CA6}"/>
            </a:ext>
          </a:extLst>
        </xdr:cNvPr>
        <xdr:cNvSpPr/>
      </xdr:nvSpPr>
      <xdr:spPr>
        <a:xfrm>
          <a:off x="5689600" y="1254760"/>
          <a:ext cx="482600" cy="482600"/>
        </a:xfrm>
        <a:prstGeom prst="ellipse">
          <a:avLst/>
        </a:prstGeom>
        <a:gradFill flip="none" rotWithShape="1">
          <a:gsLst>
            <a:gs pos="0">
              <a:srgbClr val="5DAB39"/>
            </a:gs>
            <a:gs pos="100000">
              <a:srgbClr val="085019"/>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11</xdr:col>
      <xdr:colOff>129540</xdr:colOff>
      <xdr:row>4</xdr:row>
      <xdr:rowOff>101600</xdr:rowOff>
    </xdr:from>
    <xdr:to>
      <xdr:col>14</xdr:col>
      <xdr:colOff>505460</xdr:colOff>
      <xdr:row>5</xdr:row>
      <xdr:rowOff>152400</xdr:rowOff>
    </xdr:to>
    <xdr:sp macro="" textlink="">
      <xdr:nvSpPr>
        <xdr:cNvPr id="18" name="TextBox 17">
          <a:extLst>
            <a:ext uri="{FF2B5EF4-FFF2-40B4-BE49-F238E27FC236}">
              <a16:creationId xmlns:a16="http://schemas.microsoft.com/office/drawing/2014/main" id="{035A5AC2-A050-6D58-9C9D-A8DA34A6F2A8}"/>
            </a:ext>
          </a:extLst>
        </xdr:cNvPr>
        <xdr:cNvSpPr txBox="1"/>
      </xdr:nvSpPr>
      <xdr:spPr>
        <a:xfrm>
          <a:off x="62484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Budget Remaining</a:t>
          </a:r>
        </a:p>
      </xdr:txBody>
    </xdr:sp>
    <xdr:clientData/>
  </xdr:twoCellAnchor>
  <xdr:twoCellAnchor>
    <xdr:from>
      <xdr:col>11</xdr:col>
      <xdr:colOff>129540</xdr:colOff>
      <xdr:row>5</xdr:row>
      <xdr:rowOff>139700</xdr:rowOff>
    </xdr:from>
    <xdr:to>
      <xdr:col>14</xdr:col>
      <xdr:colOff>505460</xdr:colOff>
      <xdr:row>7</xdr:row>
      <xdr:rowOff>114300</xdr:rowOff>
    </xdr:to>
    <xdr:sp macro="" textlink="Dashboard!$AF$4">
      <xdr:nvSpPr>
        <xdr:cNvPr id="19" name="TextBox 18">
          <a:extLst>
            <a:ext uri="{FF2B5EF4-FFF2-40B4-BE49-F238E27FC236}">
              <a16:creationId xmlns:a16="http://schemas.microsoft.com/office/drawing/2014/main" id="{A1457F53-A74B-0CC7-6220-FE8893ED21FC}"/>
            </a:ext>
          </a:extLst>
        </xdr:cNvPr>
        <xdr:cNvSpPr txBox="1"/>
      </xdr:nvSpPr>
      <xdr:spPr>
        <a:xfrm>
          <a:off x="62484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9671C09B-76BF-43B6-A840-C70461F52619}" type="TxLink">
            <a:rPr lang="en-US" sz="2800" b="1" i="0" u="none" strike="noStrike">
              <a:solidFill>
                <a:srgbClr val="054A19"/>
              </a:solidFill>
              <a:latin typeface="Aptos"/>
            </a:rPr>
            <a:t>2,577K</a:t>
          </a:fld>
          <a:endParaRPr lang="en-IN" sz="2800" b="1">
            <a:solidFill>
              <a:srgbClr val="054A19"/>
            </a:solidFill>
          </a:endParaRPr>
        </a:p>
      </xdr:txBody>
    </xdr:sp>
    <xdr:clientData/>
  </xdr:twoCellAnchor>
  <xdr:twoCellAnchor>
    <xdr:from>
      <xdr:col>11</xdr:col>
      <xdr:colOff>129540</xdr:colOff>
      <xdr:row>7</xdr:row>
      <xdr:rowOff>50800</xdr:rowOff>
    </xdr:from>
    <xdr:to>
      <xdr:col>14</xdr:col>
      <xdr:colOff>505460</xdr:colOff>
      <xdr:row>7</xdr:row>
      <xdr:rowOff>215900</xdr:rowOff>
    </xdr:to>
    <xdr:sp macro="" textlink="">
      <xdr:nvSpPr>
        <xdr:cNvPr id="20" name="TextBox 19">
          <a:extLst>
            <a:ext uri="{FF2B5EF4-FFF2-40B4-BE49-F238E27FC236}">
              <a16:creationId xmlns:a16="http://schemas.microsoft.com/office/drawing/2014/main" id="{9EA1856D-6035-2C69-111A-AD05D1EF5A97}"/>
            </a:ext>
          </a:extLst>
        </xdr:cNvPr>
        <xdr:cNvSpPr txBox="1"/>
      </xdr:nvSpPr>
      <xdr:spPr>
        <a:xfrm>
          <a:off x="62484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Remaining Budget</a:t>
          </a:r>
        </a:p>
      </xdr:txBody>
    </xdr:sp>
    <xdr:clientData/>
  </xdr:twoCellAnchor>
  <xdr:twoCellAnchor>
    <xdr:from>
      <xdr:col>15</xdr:col>
      <xdr:colOff>0</xdr:colOff>
      <xdr:row>4</xdr:row>
      <xdr:rowOff>0</xdr:rowOff>
    </xdr:from>
    <xdr:to>
      <xdr:col>20</xdr:col>
      <xdr:colOff>0</xdr:colOff>
      <xdr:row>8</xdr:row>
      <xdr:rowOff>0</xdr:rowOff>
    </xdr:to>
    <xdr:sp macro="" textlink="">
      <xdr:nvSpPr>
        <xdr:cNvPr id="21" name="Rectangle: Rounded Corners 20">
          <a:extLst>
            <a:ext uri="{FF2B5EF4-FFF2-40B4-BE49-F238E27FC236}">
              <a16:creationId xmlns:a16="http://schemas.microsoft.com/office/drawing/2014/main" id="{75DCCBA3-55DB-7050-98BE-22A4CB200F33}"/>
            </a:ext>
          </a:extLst>
        </xdr:cNvPr>
        <xdr:cNvSpPr/>
      </xdr:nvSpPr>
      <xdr:spPr>
        <a:xfrm>
          <a:off x="8343900" y="1051560"/>
          <a:ext cx="2781300" cy="914400"/>
        </a:xfrm>
        <a:prstGeom prst="roundRect">
          <a:avLst/>
        </a:prstGeom>
        <a:solidFill>
          <a:srgbClr val="FFFFFF"/>
        </a:solidFill>
        <a:ln w="9525">
          <a:solidFill>
            <a:schemeClr val="tx1"/>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127000</xdr:colOff>
      <xdr:row>4</xdr:row>
      <xdr:rowOff>203200</xdr:rowOff>
    </xdr:from>
    <xdr:to>
      <xdr:col>16</xdr:col>
      <xdr:colOff>53340</xdr:colOff>
      <xdr:row>7</xdr:row>
      <xdr:rowOff>0</xdr:rowOff>
    </xdr:to>
    <xdr:sp macro="" textlink="">
      <xdr:nvSpPr>
        <xdr:cNvPr id="22" name="Oval 21">
          <a:extLst>
            <a:ext uri="{FF2B5EF4-FFF2-40B4-BE49-F238E27FC236}">
              <a16:creationId xmlns:a16="http://schemas.microsoft.com/office/drawing/2014/main" id="{A36FC411-5ED7-D3A9-5E51-6C03DE27973A}"/>
            </a:ext>
          </a:extLst>
        </xdr:cNvPr>
        <xdr:cNvSpPr/>
      </xdr:nvSpPr>
      <xdr:spPr>
        <a:xfrm>
          <a:off x="8470900" y="1254760"/>
          <a:ext cx="482600" cy="482600"/>
        </a:xfrm>
        <a:prstGeom prst="ellipse">
          <a:avLst/>
        </a:prstGeom>
        <a:gradFill flip="none" rotWithShape="1">
          <a:gsLst>
            <a:gs pos="0">
              <a:srgbClr val="11793A"/>
            </a:gs>
            <a:gs pos="100000">
              <a:srgbClr val="085019"/>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16</xdr:col>
      <xdr:colOff>129540</xdr:colOff>
      <xdr:row>4</xdr:row>
      <xdr:rowOff>101600</xdr:rowOff>
    </xdr:from>
    <xdr:to>
      <xdr:col>19</xdr:col>
      <xdr:colOff>505460</xdr:colOff>
      <xdr:row>5</xdr:row>
      <xdr:rowOff>152400</xdr:rowOff>
    </xdr:to>
    <xdr:sp macro="" textlink="">
      <xdr:nvSpPr>
        <xdr:cNvPr id="23" name="TextBox 22">
          <a:extLst>
            <a:ext uri="{FF2B5EF4-FFF2-40B4-BE49-F238E27FC236}">
              <a16:creationId xmlns:a16="http://schemas.microsoft.com/office/drawing/2014/main" id="{4E75BDC9-7393-9732-F374-E5AA3B6920FD}"/>
            </a:ext>
          </a:extLst>
        </xdr:cNvPr>
        <xdr:cNvSpPr txBox="1"/>
      </xdr:nvSpPr>
      <xdr:spPr>
        <a:xfrm>
          <a:off x="90297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Transactions</a:t>
          </a:r>
        </a:p>
      </xdr:txBody>
    </xdr:sp>
    <xdr:clientData/>
  </xdr:twoCellAnchor>
  <xdr:twoCellAnchor>
    <xdr:from>
      <xdr:col>16</xdr:col>
      <xdr:colOff>129540</xdr:colOff>
      <xdr:row>5</xdr:row>
      <xdr:rowOff>139700</xdr:rowOff>
    </xdr:from>
    <xdr:to>
      <xdr:col>19</xdr:col>
      <xdr:colOff>505460</xdr:colOff>
      <xdr:row>7</xdr:row>
      <xdr:rowOff>114300</xdr:rowOff>
    </xdr:to>
    <xdr:sp macro="" textlink="Dashboard!$AF$5">
      <xdr:nvSpPr>
        <xdr:cNvPr id="24" name="TextBox 23">
          <a:extLst>
            <a:ext uri="{FF2B5EF4-FFF2-40B4-BE49-F238E27FC236}">
              <a16:creationId xmlns:a16="http://schemas.microsoft.com/office/drawing/2014/main" id="{F4CE559A-7EB2-1C08-098A-223D6725651D}"/>
            </a:ext>
          </a:extLst>
        </xdr:cNvPr>
        <xdr:cNvSpPr txBox="1"/>
      </xdr:nvSpPr>
      <xdr:spPr>
        <a:xfrm>
          <a:off x="90297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2184178E-67AA-4A66-8E71-A922395BEEAB}" type="TxLink">
            <a:rPr lang="en-US" sz="2800" b="1" i="0" u="none" strike="noStrike">
              <a:solidFill>
                <a:srgbClr val="054A19"/>
              </a:solidFill>
              <a:latin typeface="Aptos"/>
            </a:rPr>
            <a:t>17</a:t>
          </a:fld>
          <a:endParaRPr lang="en-IN" sz="2800" b="1">
            <a:solidFill>
              <a:srgbClr val="054A19"/>
            </a:solidFill>
          </a:endParaRPr>
        </a:p>
      </xdr:txBody>
    </xdr:sp>
    <xdr:clientData/>
  </xdr:twoCellAnchor>
  <xdr:twoCellAnchor>
    <xdr:from>
      <xdr:col>16</xdr:col>
      <xdr:colOff>129540</xdr:colOff>
      <xdr:row>7</xdr:row>
      <xdr:rowOff>50800</xdr:rowOff>
    </xdr:from>
    <xdr:to>
      <xdr:col>19</xdr:col>
      <xdr:colOff>505460</xdr:colOff>
      <xdr:row>7</xdr:row>
      <xdr:rowOff>215900</xdr:rowOff>
    </xdr:to>
    <xdr:sp macro="" textlink="">
      <xdr:nvSpPr>
        <xdr:cNvPr id="25" name="TextBox 24">
          <a:extLst>
            <a:ext uri="{FF2B5EF4-FFF2-40B4-BE49-F238E27FC236}">
              <a16:creationId xmlns:a16="http://schemas.microsoft.com/office/drawing/2014/main" id="{9D6CBD71-BB34-B34A-074F-B52C510E3256}"/>
            </a:ext>
          </a:extLst>
        </xdr:cNvPr>
        <xdr:cNvSpPr txBox="1"/>
      </xdr:nvSpPr>
      <xdr:spPr>
        <a:xfrm>
          <a:off x="90297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Total Transactions</a:t>
          </a:r>
        </a:p>
      </xdr:txBody>
    </xdr:sp>
    <xdr:clientData/>
  </xdr:twoCellAnchor>
  <xdr:twoCellAnchor>
    <xdr:from>
      <xdr:col>20</xdr:col>
      <xdr:colOff>0</xdr:colOff>
      <xdr:row>4</xdr:row>
      <xdr:rowOff>0</xdr:rowOff>
    </xdr:from>
    <xdr:to>
      <xdr:col>25</xdr:col>
      <xdr:colOff>0</xdr:colOff>
      <xdr:row>8</xdr:row>
      <xdr:rowOff>0</xdr:rowOff>
    </xdr:to>
    <xdr:sp macro="" textlink="">
      <xdr:nvSpPr>
        <xdr:cNvPr id="26" name="Rectangle: Rounded Corners 25">
          <a:extLst>
            <a:ext uri="{FF2B5EF4-FFF2-40B4-BE49-F238E27FC236}">
              <a16:creationId xmlns:a16="http://schemas.microsoft.com/office/drawing/2014/main" id="{B8B578A3-B930-1B21-6D67-80A2C019065F}"/>
            </a:ext>
          </a:extLst>
        </xdr:cNvPr>
        <xdr:cNvSpPr/>
      </xdr:nvSpPr>
      <xdr:spPr>
        <a:xfrm>
          <a:off x="11125200" y="1051560"/>
          <a:ext cx="2781300" cy="914400"/>
        </a:xfrm>
        <a:prstGeom prst="roundRect">
          <a:avLst/>
        </a:prstGeom>
        <a:solidFill>
          <a:srgbClr val="FFFFFF"/>
        </a:solidFill>
        <a:ln w="9525">
          <a:solidFill>
            <a:schemeClr val="tx1"/>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127000</xdr:colOff>
      <xdr:row>4</xdr:row>
      <xdr:rowOff>203200</xdr:rowOff>
    </xdr:from>
    <xdr:to>
      <xdr:col>21</xdr:col>
      <xdr:colOff>53340</xdr:colOff>
      <xdr:row>7</xdr:row>
      <xdr:rowOff>0</xdr:rowOff>
    </xdr:to>
    <xdr:sp macro="" textlink="">
      <xdr:nvSpPr>
        <xdr:cNvPr id="27" name="Oval 26">
          <a:extLst>
            <a:ext uri="{FF2B5EF4-FFF2-40B4-BE49-F238E27FC236}">
              <a16:creationId xmlns:a16="http://schemas.microsoft.com/office/drawing/2014/main" id="{931B13FA-C0FD-EF8F-BD11-DE4B8F3ADD7C}"/>
            </a:ext>
          </a:extLst>
        </xdr:cNvPr>
        <xdr:cNvSpPr/>
      </xdr:nvSpPr>
      <xdr:spPr>
        <a:xfrm>
          <a:off x="11252200" y="1254760"/>
          <a:ext cx="482600" cy="482600"/>
        </a:xfrm>
        <a:prstGeom prst="ellipse">
          <a:avLst/>
        </a:prstGeom>
        <a:gradFill flip="none" rotWithShape="1">
          <a:gsLst>
            <a:gs pos="0">
              <a:srgbClr val="258930"/>
            </a:gs>
            <a:gs pos="100000">
              <a:srgbClr val="085019"/>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O</a:t>
          </a:r>
        </a:p>
      </xdr:txBody>
    </xdr:sp>
    <xdr:clientData/>
  </xdr:twoCellAnchor>
  <xdr:twoCellAnchor>
    <xdr:from>
      <xdr:col>21</xdr:col>
      <xdr:colOff>129540</xdr:colOff>
      <xdr:row>4</xdr:row>
      <xdr:rowOff>101600</xdr:rowOff>
    </xdr:from>
    <xdr:to>
      <xdr:col>24</xdr:col>
      <xdr:colOff>505460</xdr:colOff>
      <xdr:row>5</xdr:row>
      <xdr:rowOff>152400</xdr:rowOff>
    </xdr:to>
    <xdr:sp macro="" textlink="">
      <xdr:nvSpPr>
        <xdr:cNvPr id="28" name="TextBox 27">
          <a:extLst>
            <a:ext uri="{FF2B5EF4-FFF2-40B4-BE49-F238E27FC236}">
              <a16:creationId xmlns:a16="http://schemas.microsoft.com/office/drawing/2014/main" id="{E5037D41-7E42-1DB4-391D-5F1926C1F9AC}"/>
            </a:ext>
          </a:extLst>
        </xdr:cNvPr>
        <xdr:cNvSpPr txBox="1"/>
      </xdr:nvSpPr>
      <xdr:spPr>
        <a:xfrm>
          <a:off x="118110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Approval Rate</a:t>
          </a:r>
        </a:p>
      </xdr:txBody>
    </xdr:sp>
    <xdr:clientData/>
  </xdr:twoCellAnchor>
  <xdr:twoCellAnchor>
    <xdr:from>
      <xdr:col>21</xdr:col>
      <xdr:colOff>129540</xdr:colOff>
      <xdr:row>5</xdr:row>
      <xdr:rowOff>139700</xdr:rowOff>
    </xdr:from>
    <xdr:to>
      <xdr:col>24</xdr:col>
      <xdr:colOff>505460</xdr:colOff>
      <xdr:row>7</xdr:row>
      <xdr:rowOff>114300</xdr:rowOff>
    </xdr:to>
    <xdr:sp macro="" textlink="Dashboard!$AF$6">
      <xdr:nvSpPr>
        <xdr:cNvPr id="29" name="TextBox 28">
          <a:extLst>
            <a:ext uri="{FF2B5EF4-FFF2-40B4-BE49-F238E27FC236}">
              <a16:creationId xmlns:a16="http://schemas.microsoft.com/office/drawing/2014/main" id="{0CBBA4BD-1B8A-1A03-0BEA-3070C79ECAF1}"/>
            </a:ext>
          </a:extLst>
        </xdr:cNvPr>
        <xdr:cNvSpPr txBox="1"/>
      </xdr:nvSpPr>
      <xdr:spPr>
        <a:xfrm>
          <a:off x="118110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D103830A-22E7-4713-9DDA-0F4FB3AAF959}" type="TxLink">
            <a:rPr lang="en-US" sz="2800" b="1" i="0" u="none" strike="noStrike">
              <a:solidFill>
                <a:srgbClr val="054A19"/>
              </a:solidFill>
              <a:latin typeface="Aptos"/>
            </a:rPr>
            <a:t>76.5%</a:t>
          </a:fld>
          <a:endParaRPr lang="en-IN" sz="2800" b="1">
            <a:solidFill>
              <a:srgbClr val="054A19"/>
            </a:solidFill>
          </a:endParaRPr>
        </a:p>
      </xdr:txBody>
    </xdr:sp>
    <xdr:clientData/>
  </xdr:twoCellAnchor>
  <xdr:twoCellAnchor>
    <xdr:from>
      <xdr:col>21</xdr:col>
      <xdr:colOff>129540</xdr:colOff>
      <xdr:row>7</xdr:row>
      <xdr:rowOff>50800</xdr:rowOff>
    </xdr:from>
    <xdr:to>
      <xdr:col>24</xdr:col>
      <xdr:colOff>505460</xdr:colOff>
      <xdr:row>7</xdr:row>
      <xdr:rowOff>215900</xdr:rowOff>
    </xdr:to>
    <xdr:sp macro="" textlink="">
      <xdr:nvSpPr>
        <xdr:cNvPr id="30" name="TextBox 29">
          <a:extLst>
            <a:ext uri="{FF2B5EF4-FFF2-40B4-BE49-F238E27FC236}">
              <a16:creationId xmlns:a16="http://schemas.microsoft.com/office/drawing/2014/main" id="{F7B328CF-941E-4153-02B4-3E54544FCEC5}"/>
            </a:ext>
          </a:extLst>
        </xdr:cNvPr>
        <xdr:cNvSpPr txBox="1"/>
      </xdr:nvSpPr>
      <xdr:spPr>
        <a:xfrm>
          <a:off x="118110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Approved Items</a:t>
          </a:r>
        </a:p>
      </xdr:txBody>
    </xdr:sp>
    <xdr:clientData/>
  </xdr:twoCellAnchor>
  <xdr:twoCellAnchor>
    <xdr:from>
      <xdr:col>25</xdr:col>
      <xdr:colOff>0</xdr:colOff>
      <xdr:row>4</xdr:row>
      <xdr:rowOff>0</xdr:rowOff>
    </xdr:from>
    <xdr:to>
      <xdr:col>30</xdr:col>
      <xdr:colOff>0</xdr:colOff>
      <xdr:row>8</xdr:row>
      <xdr:rowOff>0</xdr:rowOff>
    </xdr:to>
    <xdr:sp macro="" textlink="">
      <xdr:nvSpPr>
        <xdr:cNvPr id="31" name="Rectangle: Rounded Corners 30">
          <a:extLst>
            <a:ext uri="{FF2B5EF4-FFF2-40B4-BE49-F238E27FC236}">
              <a16:creationId xmlns:a16="http://schemas.microsoft.com/office/drawing/2014/main" id="{1F5440F9-8318-186E-DDFB-996477BD82A2}"/>
            </a:ext>
          </a:extLst>
        </xdr:cNvPr>
        <xdr:cNvSpPr/>
      </xdr:nvSpPr>
      <xdr:spPr>
        <a:xfrm>
          <a:off x="13906500" y="1051560"/>
          <a:ext cx="2781300" cy="914400"/>
        </a:xfrm>
        <a:prstGeom prst="roundRect">
          <a:avLst/>
        </a:prstGeom>
        <a:solidFill>
          <a:srgbClr val="FFFFFF"/>
        </a:solidFill>
        <a:ln w="9525">
          <a:solidFill>
            <a:schemeClr val="tx1"/>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127000</xdr:colOff>
      <xdr:row>4</xdr:row>
      <xdr:rowOff>203200</xdr:rowOff>
    </xdr:from>
    <xdr:to>
      <xdr:col>26</xdr:col>
      <xdr:colOff>53340</xdr:colOff>
      <xdr:row>7</xdr:row>
      <xdr:rowOff>0</xdr:rowOff>
    </xdr:to>
    <xdr:sp macro="" textlink="">
      <xdr:nvSpPr>
        <xdr:cNvPr id="32" name="Oval 31">
          <a:extLst>
            <a:ext uri="{FF2B5EF4-FFF2-40B4-BE49-F238E27FC236}">
              <a16:creationId xmlns:a16="http://schemas.microsoft.com/office/drawing/2014/main" id="{9494EEB0-6BD5-2CFB-0967-EDC182DAD092}"/>
            </a:ext>
          </a:extLst>
        </xdr:cNvPr>
        <xdr:cNvSpPr/>
      </xdr:nvSpPr>
      <xdr:spPr>
        <a:xfrm>
          <a:off x="14033500" y="1254760"/>
          <a:ext cx="482600" cy="482600"/>
        </a:xfrm>
        <a:prstGeom prst="ellipse">
          <a:avLst/>
        </a:prstGeom>
        <a:gradFill flip="none" rotWithShape="1">
          <a:gsLst>
            <a:gs pos="0">
              <a:srgbClr val="166534"/>
            </a:gs>
            <a:gs pos="100000">
              <a:srgbClr val="085019"/>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26</xdr:col>
      <xdr:colOff>129540</xdr:colOff>
      <xdr:row>4</xdr:row>
      <xdr:rowOff>101600</xdr:rowOff>
    </xdr:from>
    <xdr:to>
      <xdr:col>29</xdr:col>
      <xdr:colOff>505460</xdr:colOff>
      <xdr:row>5</xdr:row>
      <xdr:rowOff>152400</xdr:rowOff>
    </xdr:to>
    <xdr:sp macro="" textlink="">
      <xdr:nvSpPr>
        <xdr:cNvPr id="33" name="TextBox 32">
          <a:extLst>
            <a:ext uri="{FF2B5EF4-FFF2-40B4-BE49-F238E27FC236}">
              <a16:creationId xmlns:a16="http://schemas.microsoft.com/office/drawing/2014/main" id="{C82CA922-B5E9-B40C-DE40-0D9E4D731BD6}"/>
            </a:ext>
          </a:extLst>
        </xdr:cNvPr>
        <xdr:cNvSpPr txBox="1"/>
      </xdr:nvSpPr>
      <xdr:spPr>
        <a:xfrm>
          <a:off x="145923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Avg Expense</a:t>
          </a:r>
        </a:p>
      </xdr:txBody>
    </xdr:sp>
    <xdr:clientData/>
  </xdr:twoCellAnchor>
  <xdr:twoCellAnchor>
    <xdr:from>
      <xdr:col>26</xdr:col>
      <xdr:colOff>129540</xdr:colOff>
      <xdr:row>5</xdr:row>
      <xdr:rowOff>139700</xdr:rowOff>
    </xdr:from>
    <xdr:to>
      <xdr:col>29</xdr:col>
      <xdr:colOff>505460</xdr:colOff>
      <xdr:row>7</xdr:row>
      <xdr:rowOff>114300</xdr:rowOff>
    </xdr:to>
    <xdr:sp macro="" textlink="Dashboard!$AF$7">
      <xdr:nvSpPr>
        <xdr:cNvPr id="34" name="TextBox 33">
          <a:extLst>
            <a:ext uri="{FF2B5EF4-FFF2-40B4-BE49-F238E27FC236}">
              <a16:creationId xmlns:a16="http://schemas.microsoft.com/office/drawing/2014/main" id="{027EB73A-F8BB-7D08-31BF-B7897141E58D}"/>
            </a:ext>
          </a:extLst>
        </xdr:cNvPr>
        <xdr:cNvSpPr txBox="1"/>
      </xdr:nvSpPr>
      <xdr:spPr>
        <a:xfrm>
          <a:off x="145923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4050E938-ED85-4399-A450-F0CD67FFE1D9}" type="TxLink">
            <a:rPr lang="en-US" sz="2800" b="1" i="0" u="none" strike="noStrike">
              <a:solidFill>
                <a:srgbClr val="054A19"/>
              </a:solidFill>
              <a:latin typeface="Aptos"/>
            </a:rPr>
            <a:t>74K</a:t>
          </a:fld>
          <a:endParaRPr lang="en-IN" sz="2800" b="1">
            <a:solidFill>
              <a:srgbClr val="054A19"/>
            </a:solidFill>
          </a:endParaRPr>
        </a:p>
      </xdr:txBody>
    </xdr:sp>
    <xdr:clientData/>
  </xdr:twoCellAnchor>
  <xdr:twoCellAnchor>
    <xdr:from>
      <xdr:col>26</xdr:col>
      <xdr:colOff>129540</xdr:colOff>
      <xdr:row>7</xdr:row>
      <xdr:rowOff>50800</xdr:rowOff>
    </xdr:from>
    <xdr:to>
      <xdr:col>29</xdr:col>
      <xdr:colOff>505460</xdr:colOff>
      <xdr:row>7</xdr:row>
      <xdr:rowOff>215900</xdr:rowOff>
    </xdr:to>
    <xdr:sp macro="" textlink="">
      <xdr:nvSpPr>
        <xdr:cNvPr id="35" name="TextBox 34">
          <a:extLst>
            <a:ext uri="{FF2B5EF4-FFF2-40B4-BE49-F238E27FC236}">
              <a16:creationId xmlns:a16="http://schemas.microsoft.com/office/drawing/2014/main" id="{E348DA85-D898-480F-DC4F-F3B329083F9E}"/>
            </a:ext>
          </a:extLst>
        </xdr:cNvPr>
        <xdr:cNvSpPr txBox="1"/>
      </xdr:nvSpPr>
      <xdr:spPr>
        <a:xfrm>
          <a:off x="145923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Per Transaction</a:t>
          </a:r>
        </a:p>
      </xdr:txBody>
    </xdr:sp>
    <xdr:clientData/>
  </xdr:twoCellAnchor>
  <xdr:twoCellAnchor>
    <xdr:from>
      <xdr:col>0</xdr:col>
      <xdr:colOff>0</xdr:colOff>
      <xdr:row>9</xdr:row>
      <xdr:rowOff>0</xdr:rowOff>
    </xdr:from>
    <xdr:to>
      <xdr:col>12</xdr:col>
      <xdr:colOff>0</xdr:colOff>
      <xdr:row>18</xdr:row>
      <xdr:rowOff>0</xdr:rowOff>
    </xdr:to>
    <xdr:graphicFrame macro="">
      <xdr:nvGraphicFramePr>
        <xdr:cNvPr id="36" name="Chart 35">
          <a:extLst>
            <a:ext uri="{FF2B5EF4-FFF2-40B4-BE49-F238E27FC236}">
              <a16:creationId xmlns:a16="http://schemas.microsoft.com/office/drawing/2014/main" id="{18EA235A-AA7D-D616-9625-4D52D5363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9</xdr:row>
      <xdr:rowOff>0</xdr:rowOff>
    </xdr:from>
    <xdr:to>
      <xdr:col>22</xdr:col>
      <xdr:colOff>0</xdr:colOff>
      <xdr:row>18</xdr:row>
      <xdr:rowOff>0</xdr:rowOff>
    </xdr:to>
    <xdr:graphicFrame macro="">
      <xdr:nvGraphicFramePr>
        <xdr:cNvPr id="37" name="Chart 36">
          <a:extLst>
            <a:ext uri="{FF2B5EF4-FFF2-40B4-BE49-F238E27FC236}">
              <a16:creationId xmlns:a16="http://schemas.microsoft.com/office/drawing/2014/main" id="{36E8C83E-2E5A-D61C-F4B0-F932D4DA2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12</xdr:col>
      <xdr:colOff>0</xdr:colOff>
      <xdr:row>28</xdr:row>
      <xdr:rowOff>0</xdr:rowOff>
    </xdr:to>
    <xdr:graphicFrame macro="">
      <xdr:nvGraphicFramePr>
        <xdr:cNvPr id="38" name="Chart 37">
          <a:extLst>
            <a:ext uri="{FF2B5EF4-FFF2-40B4-BE49-F238E27FC236}">
              <a16:creationId xmlns:a16="http://schemas.microsoft.com/office/drawing/2014/main" id="{1EBF31AE-57AF-A109-1467-65487B98F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18</xdr:row>
      <xdr:rowOff>0</xdr:rowOff>
    </xdr:from>
    <xdr:to>
      <xdr:col>22</xdr:col>
      <xdr:colOff>0</xdr:colOff>
      <xdr:row>28</xdr:row>
      <xdr:rowOff>0</xdr:rowOff>
    </xdr:to>
    <xdr:graphicFrame macro="">
      <xdr:nvGraphicFramePr>
        <xdr:cNvPr id="39" name="Chart 38">
          <a:extLst>
            <a:ext uri="{FF2B5EF4-FFF2-40B4-BE49-F238E27FC236}">
              <a16:creationId xmlns:a16="http://schemas.microsoft.com/office/drawing/2014/main" id="{30C9ACB8-25E2-B8B2-826B-527F0B635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18</xdr:row>
      <xdr:rowOff>0</xdr:rowOff>
    </xdr:from>
    <xdr:to>
      <xdr:col>30</xdr:col>
      <xdr:colOff>0</xdr:colOff>
      <xdr:row>28</xdr:row>
      <xdr:rowOff>36704</xdr:rowOff>
    </xdr:to>
    <xdr:graphicFrame macro="">
      <xdr:nvGraphicFramePr>
        <xdr:cNvPr id="40" name="Chart 39">
          <a:extLst>
            <a:ext uri="{FF2B5EF4-FFF2-40B4-BE49-F238E27FC236}">
              <a16:creationId xmlns:a16="http://schemas.microsoft.com/office/drawing/2014/main" id="{74B3A1CE-F188-8ACA-1203-E48225F33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23949</xdr:colOff>
      <xdr:row>9</xdr:row>
      <xdr:rowOff>6531</xdr:rowOff>
    </xdr:from>
    <xdr:to>
      <xdr:col>30</xdr:col>
      <xdr:colOff>32657</xdr:colOff>
      <xdr:row>14</xdr:row>
      <xdr:rowOff>6531</xdr:rowOff>
    </xdr:to>
    <mc:AlternateContent xmlns:mc="http://schemas.openxmlformats.org/markup-compatibility/2006">
      <mc:Choice xmlns:a14="http://schemas.microsoft.com/office/drawing/2010/main" Requires="a14">
        <xdr:graphicFrame macro="">
          <xdr:nvGraphicFramePr>
            <xdr:cNvPr id="41" name="Month">
              <a:extLst>
                <a:ext uri="{FF2B5EF4-FFF2-40B4-BE49-F238E27FC236}">
                  <a16:creationId xmlns:a16="http://schemas.microsoft.com/office/drawing/2014/main" id="{D720C2FB-D396-89AD-167D-CF159857863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237720" y="2194560"/>
              <a:ext cx="445008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23949</xdr:colOff>
      <xdr:row>14</xdr:row>
      <xdr:rowOff>6531</xdr:rowOff>
    </xdr:from>
    <xdr:to>
      <xdr:col>30</xdr:col>
      <xdr:colOff>32657</xdr:colOff>
      <xdr:row>18</xdr:row>
      <xdr:rowOff>6531</xdr:rowOff>
    </xdr:to>
    <mc:AlternateContent xmlns:mc="http://schemas.openxmlformats.org/markup-compatibility/2006">
      <mc:Choice xmlns:a14="http://schemas.microsoft.com/office/drawing/2010/main" Requires="a14">
        <xdr:graphicFrame macro="">
          <xdr:nvGraphicFramePr>
            <xdr:cNvPr id="42" name="Department">
              <a:extLst>
                <a:ext uri="{FF2B5EF4-FFF2-40B4-BE49-F238E27FC236}">
                  <a16:creationId xmlns:a16="http://schemas.microsoft.com/office/drawing/2014/main" id="{3B8DC62C-20EA-6515-FB42-09505C9BBE5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237720" y="3337560"/>
              <a:ext cx="445008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256.692784027779" createdVersion="8" refreshedVersion="8" minRefreshableVersion="3" recordCount="180" xr:uid="{048E03F9-04A0-4EF6-A77E-B46E54FD7581}">
  <cacheSource type="worksheet">
    <worksheetSource ref="A1:J181" sheet="Data"/>
  </cacheSource>
  <cacheFields count="10">
    <cacheField name="Expense ID" numFmtId="0">
      <sharedItems/>
    </cacheField>
    <cacheField name="Date" numFmtId="164">
      <sharedItems containsSemiMixedTypes="0" containsNonDate="0" containsDate="1" containsString="0" minDate="2025-01-01T00:00:00" maxDate="2025-12-28T00:00:00"/>
    </cacheField>
    <cacheField name="Department" numFmtId="0">
      <sharedItems count="7">
        <s v="Operations"/>
        <s v="Admin"/>
        <s v="IT"/>
        <s v="Sales"/>
        <s v="Marketing"/>
        <s v="HR"/>
        <s v="Finance"/>
      </sharedItems>
    </cacheField>
    <cacheField name="Category" numFmtId="0">
      <sharedItems count="8">
        <s v="Miscellaneous"/>
        <s v="Office Supplies"/>
        <s v="Training"/>
        <s v="Client Entertainment"/>
        <s v="Equipment"/>
        <s v="Utilities"/>
        <s v="Travel"/>
        <s v="Software"/>
      </sharedItems>
    </cacheField>
    <cacheField name="Amount (INR)" numFmtId="165">
      <sharedItems containsSemiMixedTypes="0" containsString="0" containsNumber="1" containsInteger="1" minValue="1800" maxValue="184900"/>
    </cacheField>
    <cacheField name="Payment Method" numFmtId="0">
      <sharedItems count="5">
        <s v="Bank Transfer"/>
        <s v="UPI"/>
        <s v="Cash"/>
        <s v="Credit Card"/>
        <s v="Cheque"/>
      </sharedItems>
    </cacheField>
    <cacheField name="Approved" numFmtId="0">
      <sharedItems count="2">
        <s v="Yes"/>
        <s v="No"/>
      </sharedItems>
    </cacheField>
    <cacheField name="Budget Allocated" numFmtId="165">
      <sharedItems containsSemiMixedTypes="0" containsString="0" containsNumber="1" containsInteger="1" minValue="700000" maxValue="3000000"/>
    </cacheField>
    <cacheField name="Budget Remaining" numFmtId="165">
      <sharedItems containsSemiMixedTypes="0" containsString="0" containsNumber="1" containsInteger="1" minValue="-1994900" maxValue="2864600"/>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17670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EXP0151"/>
    <d v="2025-01-01T00:00:00"/>
    <x v="0"/>
    <x v="0"/>
    <n v="77300"/>
    <x v="0"/>
    <x v="0"/>
    <n v="2000000"/>
    <n v="433000"/>
    <x v="0"/>
  </r>
  <r>
    <s v="EXP0086"/>
    <d v="2025-01-03T00:00:00"/>
    <x v="1"/>
    <x v="1"/>
    <n v="144300"/>
    <x v="0"/>
    <x v="0"/>
    <n v="700000"/>
    <n v="-742600"/>
    <x v="0"/>
  </r>
  <r>
    <s v="EXP0097"/>
    <d v="2025-01-04T00:00:00"/>
    <x v="2"/>
    <x v="2"/>
    <n v="139800"/>
    <x v="1"/>
    <x v="0"/>
    <n v="3000000"/>
    <n v="1508700"/>
    <x v="0"/>
  </r>
  <r>
    <s v="EXP0122"/>
    <d v="2025-01-09T00:00:00"/>
    <x v="3"/>
    <x v="2"/>
    <n v="42200"/>
    <x v="0"/>
    <x v="0"/>
    <n v="2500000"/>
    <n v="812000"/>
    <x v="0"/>
  </r>
  <r>
    <s v="EXP0066"/>
    <d v="2025-01-13T00:00:00"/>
    <x v="4"/>
    <x v="3"/>
    <n v="145100"/>
    <x v="1"/>
    <x v="0"/>
    <n v="1800000"/>
    <n v="493400"/>
    <x v="0"/>
  </r>
  <r>
    <s v="EXP0101"/>
    <d v="2025-01-14T00:00:00"/>
    <x v="3"/>
    <x v="4"/>
    <n v="26400"/>
    <x v="1"/>
    <x v="0"/>
    <n v="2500000"/>
    <n v="1225000"/>
    <x v="0"/>
  </r>
  <r>
    <s v="EXP0099"/>
    <d v="2025-01-15T00:00:00"/>
    <x v="5"/>
    <x v="3"/>
    <n v="124200"/>
    <x v="1"/>
    <x v="0"/>
    <n v="900000"/>
    <n v="-401400"/>
    <x v="0"/>
  </r>
  <r>
    <s v="EXP0034"/>
    <d v="2025-01-17T00:00:00"/>
    <x v="1"/>
    <x v="3"/>
    <n v="14500"/>
    <x v="0"/>
    <x v="0"/>
    <n v="700000"/>
    <n v="308700"/>
    <x v="0"/>
  </r>
  <r>
    <s v="EXP0165"/>
    <d v="2025-01-19T00:00:00"/>
    <x v="4"/>
    <x v="3"/>
    <n v="161100"/>
    <x v="1"/>
    <x v="0"/>
    <n v="1800000"/>
    <n v="-570600"/>
    <x v="0"/>
  </r>
  <r>
    <s v="EXP0169"/>
    <d v="2025-01-19T00:00:00"/>
    <x v="6"/>
    <x v="1"/>
    <n v="44600"/>
    <x v="2"/>
    <x v="1"/>
    <n v="1200000"/>
    <n v="-660900"/>
    <x v="0"/>
  </r>
  <r>
    <s v="EXP0068"/>
    <d v="2025-01-20T00:00:00"/>
    <x v="1"/>
    <x v="0"/>
    <n v="42300"/>
    <x v="1"/>
    <x v="0"/>
    <n v="700000"/>
    <n v="-370300"/>
    <x v="0"/>
  </r>
  <r>
    <s v="EXP0063"/>
    <d v="2025-01-21T00:00:00"/>
    <x v="2"/>
    <x v="5"/>
    <n v="126700"/>
    <x v="3"/>
    <x v="0"/>
    <n v="3000000"/>
    <n v="1973700"/>
    <x v="0"/>
  </r>
  <r>
    <s v="EXP0074"/>
    <d v="2025-01-23T00:00:00"/>
    <x v="0"/>
    <x v="4"/>
    <n v="1800"/>
    <x v="4"/>
    <x v="0"/>
    <n v="2000000"/>
    <n v="1259000"/>
    <x v="0"/>
  </r>
  <r>
    <s v="EXP0129"/>
    <d v="2025-01-24T00:00:00"/>
    <x v="3"/>
    <x v="2"/>
    <n v="129500"/>
    <x v="0"/>
    <x v="0"/>
    <n v="2500000"/>
    <n v="623100"/>
    <x v="0"/>
  </r>
  <r>
    <s v="EXP0059"/>
    <d v="2025-01-27T00:00:00"/>
    <x v="3"/>
    <x v="4"/>
    <n v="153700"/>
    <x v="3"/>
    <x v="0"/>
    <n v="2500000"/>
    <n v="1362400"/>
    <x v="0"/>
  </r>
  <r>
    <s v="EXP0038"/>
    <d v="2025-01-28T00:00:00"/>
    <x v="0"/>
    <x v="1"/>
    <n v="12600"/>
    <x v="2"/>
    <x v="0"/>
    <n v="2000000"/>
    <n v="1292000"/>
    <x v="0"/>
  </r>
  <r>
    <s v="EXP0132"/>
    <d v="2025-02-03T00:00:00"/>
    <x v="5"/>
    <x v="0"/>
    <n v="15100"/>
    <x v="3"/>
    <x v="0"/>
    <n v="900000"/>
    <n v="-794600"/>
    <x v="1"/>
  </r>
  <r>
    <s v="EXP0048"/>
    <d v="2025-02-05T00:00:00"/>
    <x v="6"/>
    <x v="1"/>
    <n v="125400"/>
    <x v="0"/>
    <x v="0"/>
    <n v="1200000"/>
    <n v="603100"/>
    <x v="1"/>
  </r>
  <r>
    <s v="EXP0054"/>
    <d v="2025-02-05T00:00:00"/>
    <x v="4"/>
    <x v="3"/>
    <n v="53800"/>
    <x v="1"/>
    <x v="0"/>
    <n v="1800000"/>
    <n v="638500"/>
    <x v="1"/>
  </r>
  <r>
    <s v="EXP0070"/>
    <d v="2025-02-05T00:00:00"/>
    <x v="1"/>
    <x v="2"/>
    <n v="65900"/>
    <x v="4"/>
    <x v="0"/>
    <n v="700000"/>
    <n v="-436200"/>
    <x v="1"/>
  </r>
  <r>
    <s v="EXP0052"/>
    <d v="2025-02-07T00:00:00"/>
    <x v="3"/>
    <x v="0"/>
    <n v="115500"/>
    <x v="4"/>
    <x v="1"/>
    <n v="2500000"/>
    <n v="1566100"/>
    <x v="1"/>
  </r>
  <r>
    <s v="EXP0053"/>
    <d v="2025-02-07T00:00:00"/>
    <x v="6"/>
    <x v="5"/>
    <n v="94300"/>
    <x v="0"/>
    <x v="1"/>
    <n v="1200000"/>
    <n v="335800"/>
    <x v="1"/>
  </r>
  <r>
    <s v="EXP0028"/>
    <d v="2025-02-13T00:00:00"/>
    <x v="0"/>
    <x v="0"/>
    <n v="151200"/>
    <x v="4"/>
    <x v="0"/>
    <n v="2000000"/>
    <n v="1561700"/>
    <x v="1"/>
  </r>
  <r>
    <s v="EXP0117"/>
    <d v="2025-02-14T00:00:00"/>
    <x v="2"/>
    <x v="0"/>
    <n v="46200"/>
    <x v="1"/>
    <x v="0"/>
    <n v="3000000"/>
    <n v="1414700"/>
    <x v="1"/>
  </r>
  <r>
    <s v="EXP0150"/>
    <d v="2025-02-15T00:00:00"/>
    <x v="2"/>
    <x v="2"/>
    <n v="60800"/>
    <x v="1"/>
    <x v="1"/>
    <n v="3000000"/>
    <n v="490600"/>
    <x v="1"/>
  </r>
  <r>
    <s v="EXP0019"/>
    <d v="2025-02-16T00:00:00"/>
    <x v="1"/>
    <x v="6"/>
    <n v="159500"/>
    <x v="0"/>
    <x v="0"/>
    <n v="700000"/>
    <n v="465700"/>
    <x v="1"/>
  </r>
  <r>
    <s v="EXP0145"/>
    <d v="2025-02-16T00:00:00"/>
    <x v="4"/>
    <x v="6"/>
    <n v="184900"/>
    <x v="2"/>
    <x v="0"/>
    <n v="1800000"/>
    <n v="-283200"/>
    <x v="1"/>
  </r>
  <r>
    <s v="EXP0170"/>
    <d v="2025-02-16T00:00:00"/>
    <x v="5"/>
    <x v="1"/>
    <n v="141000"/>
    <x v="3"/>
    <x v="0"/>
    <n v="900000"/>
    <n v="-1709800"/>
    <x v="1"/>
  </r>
  <r>
    <s v="EXP0042"/>
    <d v="2025-02-17T00:00:00"/>
    <x v="1"/>
    <x v="5"/>
    <n v="32000"/>
    <x v="1"/>
    <x v="0"/>
    <n v="700000"/>
    <n v="127000"/>
    <x v="1"/>
  </r>
  <r>
    <s v="EXP0136"/>
    <d v="2025-02-20T00:00:00"/>
    <x v="1"/>
    <x v="5"/>
    <n v="116300"/>
    <x v="2"/>
    <x v="0"/>
    <n v="700000"/>
    <n v="-1619700"/>
    <x v="1"/>
  </r>
  <r>
    <s v="EXP0002"/>
    <d v="2025-02-22T00:00:00"/>
    <x v="0"/>
    <x v="1"/>
    <n v="109900"/>
    <x v="3"/>
    <x v="0"/>
    <n v="2000000"/>
    <n v="1890100"/>
    <x v="1"/>
  </r>
  <r>
    <s v="EXP0178"/>
    <d v="2025-02-24T00:00:00"/>
    <x v="4"/>
    <x v="4"/>
    <n v="106400"/>
    <x v="4"/>
    <x v="0"/>
    <n v="1800000"/>
    <n v="-693000"/>
    <x v="1"/>
  </r>
  <r>
    <s v="EXP0039"/>
    <d v="2025-02-25T00:00:00"/>
    <x v="4"/>
    <x v="5"/>
    <n v="36400"/>
    <x v="1"/>
    <x v="0"/>
    <n v="1800000"/>
    <n v="1115300"/>
    <x v="1"/>
  </r>
  <r>
    <s v="EXP0108"/>
    <d v="2025-02-28T00:00:00"/>
    <x v="1"/>
    <x v="7"/>
    <n v="178500"/>
    <x v="3"/>
    <x v="0"/>
    <n v="700000"/>
    <n v="-1154200"/>
    <x v="1"/>
  </r>
  <r>
    <s v="EXP0156"/>
    <d v="2025-03-02T00:00:00"/>
    <x v="0"/>
    <x v="7"/>
    <n v="93000"/>
    <x v="2"/>
    <x v="0"/>
    <n v="2000000"/>
    <n v="340000"/>
    <x v="2"/>
  </r>
  <r>
    <s v="EXP0088"/>
    <d v="2025-03-04T00:00:00"/>
    <x v="5"/>
    <x v="7"/>
    <n v="148600"/>
    <x v="4"/>
    <x v="1"/>
    <n v="900000"/>
    <n v="-99700"/>
    <x v="2"/>
  </r>
  <r>
    <s v="EXP0029"/>
    <d v="2025-03-07T00:00:00"/>
    <x v="0"/>
    <x v="0"/>
    <n v="175200"/>
    <x v="0"/>
    <x v="0"/>
    <n v="2000000"/>
    <n v="1386500"/>
    <x v="2"/>
  </r>
  <r>
    <s v="EXP0060"/>
    <d v="2025-03-08T00:00:00"/>
    <x v="0"/>
    <x v="2"/>
    <n v="31200"/>
    <x v="1"/>
    <x v="0"/>
    <n v="2000000"/>
    <n v="1260800"/>
    <x v="2"/>
  </r>
  <r>
    <s v="EXP0159"/>
    <d v="2025-03-11T00:00:00"/>
    <x v="1"/>
    <x v="1"/>
    <n v="52200"/>
    <x v="1"/>
    <x v="0"/>
    <n v="700000"/>
    <n v="-1788200"/>
    <x v="2"/>
  </r>
  <r>
    <s v="EXP0017"/>
    <d v="2025-03-13T00:00:00"/>
    <x v="4"/>
    <x v="2"/>
    <n v="138600"/>
    <x v="1"/>
    <x v="1"/>
    <n v="1800000"/>
    <n v="1411700"/>
    <x v="2"/>
  </r>
  <r>
    <s v="EXP0158"/>
    <d v="2025-03-16T00:00:00"/>
    <x v="5"/>
    <x v="5"/>
    <n v="170700"/>
    <x v="4"/>
    <x v="0"/>
    <n v="900000"/>
    <n v="-1452300"/>
    <x v="2"/>
  </r>
  <r>
    <s v="EXP0141"/>
    <d v="2025-03-18T00:00:00"/>
    <x v="2"/>
    <x v="7"/>
    <n v="14600"/>
    <x v="0"/>
    <x v="0"/>
    <n v="3000000"/>
    <n v="861100"/>
    <x v="2"/>
  </r>
  <r>
    <s v="EXP0094"/>
    <d v="2025-03-20T00:00:00"/>
    <x v="0"/>
    <x v="5"/>
    <n v="13300"/>
    <x v="1"/>
    <x v="0"/>
    <n v="2000000"/>
    <n v="1245700"/>
    <x v="2"/>
  </r>
  <r>
    <s v="EXP0057"/>
    <d v="2025-03-21T00:00:00"/>
    <x v="2"/>
    <x v="2"/>
    <n v="112500"/>
    <x v="2"/>
    <x v="0"/>
    <n v="3000000"/>
    <n v="2100400"/>
    <x v="2"/>
  </r>
  <r>
    <s v="EXP0137"/>
    <d v="2025-03-22T00:00:00"/>
    <x v="4"/>
    <x v="7"/>
    <n v="102800"/>
    <x v="0"/>
    <x v="0"/>
    <n v="1800000"/>
    <n v="-98300"/>
    <x v="2"/>
  </r>
  <r>
    <s v="EXP0005"/>
    <d v="2025-03-23T00:00:00"/>
    <x v="0"/>
    <x v="4"/>
    <n v="63900"/>
    <x v="0"/>
    <x v="0"/>
    <n v="2000000"/>
    <n v="1826200"/>
    <x v="2"/>
  </r>
  <r>
    <s v="EXP0146"/>
    <d v="2025-03-31T00:00:00"/>
    <x v="5"/>
    <x v="0"/>
    <n v="169600"/>
    <x v="0"/>
    <x v="1"/>
    <n v="900000"/>
    <n v="-1057500"/>
    <x v="2"/>
  </r>
  <r>
    <s v="EXP0024"/>
    <d v="2025-04-02T00:00:00"/>
    <x v="6"/>
    <x v="1"/>
    <n v="161200"/>
    <x v="2"/>
    <x v="0"/>
    <n v="1200000"/>
    <n v="758000"/>
    <x v="3"/>
  </r>
  <r>
    <s v="EXP0173"/>
    <d v="2025-04-03T00:00:00"/>
    <x v="4"/>
    <x v="7"/>
    <n v="16000"/>
    <x v="1"/>
    <x v="0"/>
    <n v="1800000"/>
    <n v="-586600"/>
    <x v="3"/>
  </r>
  <r>
    <s v="EXP0040"/>
    <d v="2025-04-04T00:00:00"/>
    <x v="2"/>
    <x v="0"/>
    <n v="47300"/>
    <x v="3"/>
    <x v="0"/>
    <n v="3000000"/>
    <n v="2466300"/>
    <x v="3"/>
  </r>
  <r>
    <s v="EXP0078"/>
    <d v="2025-04-09T00:00:00"/>
    <x v="5"/>
    <x v="4"/>
    <n v="125800"/>
    <x v="0"/>
    <x v="0"/>
    <n v="900000"/>
    <n v="303400"/>
    <x v="3"/>
  </r>
  <r>
    <s v="EXP0119"/>
    <d v="2025-04-19T00:00:00"/>
    <x v="2"/>
    <x v="2"/>
    <n v="64000"/>
    <x v="4"/>
    <x v="0"/>
    <n v="3000000"/>
    <n v="1350700"/>
    <x v="3"/>
  </r>
  <r>
    <s v="EXP0003"/>
    <d v="2025-04-22T00:00:00"/>
    <x v="4"/>
    <x v="6"/>
    <n v="104500"/>
    <x v="4"/>
    <x v="0"/>
    <n v="1800000"/>
    <n v="1695500"/>
    <x v="3"/>
  </r>
  <r>
    <s v="EXP0107"/>
    <d v="2025-04-22T00:00:00"/>
    <x v="5"/>
    <x v="2"/>
    <n v="142200"/>
    <x v="0"/>
    <x v="0"/>
    <n v="900000"/>
    <n v="-583900"/>
    <x v="3"/>
  </r>
  <r>
    <s v="EXP0083"/>
    <d v="2025-04-26T00:00:00"/>
    <x v="1"/>
    <x v="5"/>
    <n v="28500"/>
    <x v="3"/>
    <x v="0"/>
    <n v="700000"/>
    <n v="-598300"/>
    <x v="3"/>
  </r>
  <r>
    <s v="EXP0069"/>
    <d v="2025-04-27T00:00:00"/>
    <x v="4"/>
    <x v="6"/>
    <n v="122600"/>
    <x v="1"/>
    <x v="0"/>
    <n v="1800000"/>
    <n v="370800"/>
    <x v="3"/>
  </r>
  <r>
    <s v="EXP0125"/>
    <d v="2025-04-29T00:00:00"/>
    <x v="3"/>
    <x v="5"/>
    <n v="59400"/>
    <x v="4"/>
    <x v="1"/>
    <n v="2500000"/>
    <n v="752600"/>
    <x v="3"/>
  </r>
  <r>
    <s v="EXP0065"/>
    <d v="2025-05-02T00:00:00"/>
    <x v="1"/>
    <x v="7"/>
    <n v="180600"/>
    <x v="0"/>
    <x v="1"/>
    <n v="700000"/>
    <n v="-328000"/>
    <x v="4"/>
  </r>
  <r>
    <s v="EXP0092"/>
    <d v="2025-05-03T00:00:00"/>
    <x v="2"/>
    <x v="0"/>
    <n v="15700"/>
    <x v="2"/>
    <x v="0"/>
    <n v="3000000"/>
    <n v="1675400"/>
    <x v="4"/>
  </r>
  <r>
    <s v="EXP0174"/>
    <d v="2025-05-04T00:00:00"/>
    <x v="5"/>
    <x v="7"/>
    <n v="44100"/>
    <x v="2"/>
    <x v="0"/>
    <n v="900000"/>
    <n v="-1800200"/>
    <x v="4"/>
  </r>
  <r>
    <s v="EXP0036"/>
    <d v="2025-05-05T00:00:00"/>
    <x v="1"/>
    <x v="0"/>
    <n v="149700"/>
    <x v="0"/>
    <x v="0"/>
    <n v="700000"/>
    <n v="159000"/>
    <x v="4"/>
  </r>
  <r>
    <s v="EXP0013"/>
    <d v="2025-05-06T00:00:00"/>
    <x v="4"/>
    <x v="0"/>
    <n v="71100"/>
    <x v="4"/>
    <x v="0"/>
    <n v="1800000"/>
    <n v="1624400"/>
    <x v="4"/>
  </r>
  <r>
    <s v="EXP0032"/>
    <d v="2025-05-07T00:00:00"/>
    <x v="4"/>
    <x v="1"/>
    <n v="63500"/>
    <x v="4"/>
    <x v="0"/>
    <n v="1800000"/>
    <n v="1300400"/>
    <x v="4"/>
  </r>
  <r>
    <s v="EXP0091"/>
    <d v="2025-05-07T00:00:00"/>
    <x v="1"/>
    <x v="2"/>
    <n v="142000"/>
    <x v="4"/>
    <x v="0"/>
    <n v="700000"/>
    <n v="-884600"/>
    <x v="4"/>
  </r>
  <r>
    <s v="EXP0067"/>
    <d v="2025-05-08T00:00:00"/>
    <x v="2"/>
    <x v="7"/>
    <n v="146000"/>
    <x v="3"/>
    <x v="0"/>
    <n v="3000000"/>
    <n v="1827700"/>
    <x v="4"/>
  </r>
  <r>
    <s v="EXP0102"/>
    <d v="2025-05-14T00:00:00"/>
    <x v="5"/>
    <x v="3"/>
    <n v="40300"/>
    <x v="2"/>
    <x v="0"/>
    <n v="900000"/>
    <n v="-441700"/>
    <x v="4"/>
  </r>
  <r>
    <s v="EXP0072"/>
    <d v="2025-05-16T00:00:00"/>
    <x v="3"/>
    <x v="1"/>
    <n v="111000"/>
    <x v="2"/>
    <x v="0"/>
    <n v="2500000"/>
    <n v="1251400"/>
    <x v="4"/>
  </r>
  <r>
    <s v="EXP0167"/>
    <d v="2025-05-16T00:00:00"/>
    <x v="2"/>
    <x v="4"/>
    <n v="120700"/>
    <x v="2"/>
    <x v="1"/>
    <n v="3000000"/>
    <n v="231400"/>
    <x v="4"/>
  </r>
  <r>
    <s v="EXP0012"/>
    <d v="2025-05-17T00:00:00"/>
    <x v="0"/>
    <x v="1"/>
    <n v="113300"/>
    <x v="0"/>
    <x v="0"/>
    <n v="2000000"/>
    <n v="1712900"/>
    <x v="4"/>
  </r>
  <r>
    <s v="EXP0157"/>
    <d v="2025-05-20T00:00:00"/>
    <x v="5"/>
    <x v="0"/>
    <n v="181400"/>
    <x v="0"/>
    <x v="0"/>
    <n v="900000"/>
    <n v="-1281600"/>
    <x v="4"/>
  </r>
  <r>
    <s v="EXP0120"/>
    <d v="2025-05-22T00:00:00"/>
    <x v="6"/>
    <x v="6"/>
    <n v="96300"/>
    <x v="0"/>
    <x v="0"/>
    <n v="1200000"/>
    <n v="-261300"/>
    <x v="4"/>
  </r>
  <r>
    <s v="EXP0139"/>
    <d v="2025-05-25T00:00:00"/>
    <x v="0"/>
    <x v="0"/>
    <n v="14600"/>
    <x v="0"/>
    <x v="1"/>
    <n v="2000000"/>
    <n v="771700"/>
    <x v="4"/>
  </r>
  <r>
    <s v="EXP0010"/>
    <d v="2025-05-29T00:00:00"/>
    <x v="3"/>
    <x v="5"/>
    <n v="160500"/>
    <x v="1"/>
    <x v="0"/>
    <n v="2500000"/>
    <n v="1977000"/>
    <x v="4"/>
  </r>
  <r>
    <s v="EXP0079"/>
    <d v="2025-06-04T00:00:00"/>
    <x v="5"/>
    <x v="6"/>
    <n v="57300"/>
    <x v="0"/>
    <x v="0"/>
    <n v="900000"/>
    <n v="246100"/>
    <x v="5"/>
  </r>
  <r>
    <s v="EXP0027"/>
    <d v="2025-06-07T00:00:00"/>
    <x v="4"/>
    <x v="6"/>
    <n v="45700"/>
    <x v="4"/>
    <x v="1"/>
    <n v="1800000"/>
    <n v="1363900"/>
    <x v="5"/>
  </r>
  <r>
    <s v="EXP0109"/>
    <d v="2025-06-09T00:00:00"/>
    <x v="6"/>
    <x v="4"/>
    <n v="74300"/>
    <x v="0"/>
    <x v="0"/>
    <n v="1200000"/>
    <n v="-42100"/>
    <x v="5"/>
  </r>
  <r>
    <s v="EXP0051"/>
    <d v="2025-06-10T00:00:00"/>
    <x v="4"/>
    <x v="2"/>
    <n v="74100"/>
    <x v="2"/>
    <x v="0"/>
    <n v="1800000"/>
    <n v="692300"/>
    <x v="5"/>
  </r>
  <r>
    <s v="EXP0073"/>
    <d v="2025-06-10T00:00:00"/>
    <x v="5"/>
    <x v="1"/>
    <n v="72200"/>
    <x v="4"/>
    <x v="0"/>
    <n v="900000"/>
    <n v="504500"/>
    <x v="5"/>
  </r>
  <r>
    <s v="EXP0016"/>
    <d v="2025-06-11T00:00:00"/>
    <x v="4"/>
    <x v="0"/>
    <n v="74100"/>
    <x v="1"/>
    <x v="0"/>
    <n v="1800000"/>
    <n v="1550300"/>
    <x v="5"/>
  </r>
  <r>
    <s v="EXP0014"/>
    <d v="2025-06-16T00:00:00"/>
    <x v="1"/>
    <x v="6"/>
    <n v="43500"/>
    <x v="3"/>
    <x v="0"/>
    <n v="700000"/>
    <n v="625200"/>
    <x v="5"/>
  </r>
  <r>
    <s v="EXP0148"/>
    <d v="2025-06-20T00:00:00"/>
    <x v="2"/>
    <x v="1"/>
    <n v="158900"/>
    <x v="2"/>
    <x v="0"/>
    <n v="3000000"/>
    <n v="702200"/>
    <x v="5"/>
  </r>
  <r>
    <s v="EXP0093"/>
    <d v="2025-06-21T00:00:00"/>
    <x v="2"/>
    <x v="1"/>
    <n v="26900"/>
    <x v="0"/>
    <x v="0"/>
    <n v="3000000"/>
    <n v="1648500"/>
    <x v="5"/>
  </r>
  <r>
    <s v="EXP0006"/>
    <d v="2025-06-22T00:00:00"/>
    <x v="3"/>
    <x v="1"/>
    <n v="71200"/>
    <x v="2"/>
    <x v="0"/>
    <n v="2500000"/>
    <n v="2291200"/>
    <x v="5"/>
  </r>
  <r>
    <s v="EXP0113"/>
    <d v="2025-06-24T00:00:00"/>
    <x v="3"/>
    <x v="4"/>
    <n v="152400"/>
    <x v="3"/>
    <x v="0"/>
    <n v="2500000"/>
    <n v="854200"/>
    <x v="5"/>
  </r>
  <r>
    <s v="EXP0131"/>
    <d v="2025-06-24T00:00:00"/>
    <x v="4"/>
    <x v="6"/>
    <n v="47800"/>
    <x v="1"/>
    <x v="0"/>
    <n v="1800000"/>
    <n v="4500"/>
    <x v="5"/>
  </r>
  <r>
    <s v="EXP0162"/>
    <d v="2025-06-26T00:00:00"/>
    <x v="2"/>
    <x v="4"/>
    <n v="85100"/>
    <x v="2"/>
    <x v="1"/>
    <n v="3000000"/>
    <n v="352100"/>
    <x v="5"/>
  </r>
  <r>
    <s v="EXP0112"/>
    <d v="2025-06-27T00:00:00"/>
    <x v="6"/>
    <x v="4"/>
    <n v="122900"/>
    <x v="3"/>
    <x v="0"/>
    <n v="1200000"/>
    <n v="-165000"/>
    <x v="5"/>
  </r>
  <r>
    <s v="EXP0128"/>
    <d v="2025-07-04T00:00:00"/>
    <x v="4"/>
    <x v="2"/>
    <n v="4100"/>
    <x v="4"/>
    <x v="0"/>
    <n v="1800000"/>
    <n v="52300"/>
    <x v="6"/>
  </r>
  <r>
    <s v="EXP0009"/>
    <d v="2025-07-05T00:00:00"/>
    <x v="6"/>
    <x v="5"/>
    <n v="130800"/>
    <x v="3"/>
    <x v="0"/>
    <n v="1200000"/>
    <n v="919200"/>
    <x v="6"/>
  </r>
  <r>
    <s v="EXP0114"/>
    <d v="2025-07-05T00:00:00"/>
    <x v="0"/>
    <x v="0"/>
    <n v="131300"/>
    <x v="1"/>
    <x v="0"/>
    <n v="2000000"/>
    <n v="955700"/>
    <x v="6"/>
  </r>
  <r>
    <s v="EXP0062"/>
    <d v="2025-07-09T00:00:00"/>
    <x v="6"/>
    <x v="7"/>
    <n v="80400"/>
    <x v="3"/>
    <x v="0"/>
    <n v="1200000"/>
    <n v="233400"/>
    <x v="6"/>
  </r>
  <r>
    <s v="EXP0172"/>
    <d v="2025-07-11T00:00:00"/>
    <x v="5"/>
    <x v="7"/>
    <n v="46300"/>
    <x v="1"/>
    <x v="0"/>
    <n v="900000"/>
    <n v="-1756100"/>
    <x v="6"/>
  </r>
  <r>
    <s v="EXP0008"/>
    <d v="2025-07-13T00:00:00"/>
    <x v="3"/>
    <x v="2"/>
    <n v="153700"/>
    <x v="4"/>
    <x v="1"/>
    <n v="2500000"/>
    <n v="2137500"/>
    <x v="6"/>
  </r>
  <r>
    <s v="EXP0103"/>
    <d v="2025-07-14T00:00:00"/>
    <x v="2"/>
    <x v="4"/>
    <n v="47800"/>
    <x v="3"/>
    <x v="0"/>
    <n v="3000000"/>
    <n v="1460900"/>
    <x v="6"/>
  </r>
  <r>
    <s v="EXP0018"/>
    <d v="2025-07-24T00:00:00"/>
    <x v="2"/>
    <x v="5"/>
    <n v="184500"/>
    <x v="0"/>
    <x v="0"/>
    <n v="3000000"/>
    <n v="2639900"/>
    <x v="6"/>
  </r>
  <r>
    <s v="EXP0031"/>
    <d v="2025-07-24T00:00:00"/>
    <x v="0"/>
    <x v="3"/>
    <n v="81900"/>
    <x v="4"/>
    <x v="0"/>
    <n v="2000000"/>
    <n v="1304600"/>
    <x v="6"/>
  </r>
  <r>
    <s v="EXP0015"/>
    <d v="2025-07-25T00:00:00"/>
    <x v="2"/>
    <x v="1"/>
    <n v="40200"/>
    <x v="4"/>
    <x v="1"/>
    <n v="3000000"/>
    <n v="2824400"/>
    <x v="6"/>
  </r>
  <r>
    <s v="EXP0043"/>
    <d v="2025-07-25T00:00:00"/>
    <x v="3"/>
    <x v="7"/>
    <n v="71000"/>
    <x v="1"/>
    <x v="0"/>
    <n v="2500000"/>
    <n v="1693600"/>
    <x v="6"/>
  </r>
  <r>
    <s v="EXP0121"/>
    <d v="2025-07-28T00:00:00"/>
    <x v="5"/>
    <x v="5"/>
    <n v="128200"/>
    <x v="1"/>
    <x v="0"/>
    <n v="900000"/>
    <n v="-779500"/>
    <x v="6"/>
  </r>
  <r>
    <s v="EXP0134"/>
    <d v="2025-08-02T00:00:00"/>
    <x v="6"/>
    <x v="5"/>
    <n v="143800"/>
    <x v="1"/>
    <x v="0"/>
    <n v="1200000"/>
    <n v="-405100"/>
    <x v="7"/>
  </r>
  <r>
    <s v="EXP0061"/>
    <d v="2025-08-07T00:00:00"/>
    <x v="6"/>
    <x v="6"/>
    <n v="22000"/>
    <x v="0"/>
    <x v="0"/>
    <n v="1200000"/>
    <n v="313800"/>
    <x v="7"/>
  </r>
  <r>
    <s v="EXP0023"/>
    <d v="2025-08-11T00:00:00"/>
    <x v="4"/>
    <x v="0"/>
    <n v="2100"/>
    <x v="2"/>
    <x v="1"/>
    <n v="1800000"/>
    <n v="1409600"/>
    <x v="7"/>
  </r>
  <r>
    <s v="EXP0147"/>
    <d v="2025-08-12T00:00:00"/>
    <x v="0"/>
    <x v="0"/>
    <n v="179300"/>
    <x v="1"/>
    <x v="0"/>
    <n v="2000000"/>
    <n v="510300"/>
    <x v="7"/>
  </r>
  <r>
    <s v="EXP0135"/>
    <d v="2025-08-15T00:00:00"/>
    <x v="2"/>
    <x v="4"/>
    <n v="57500"/>
    <x v="4"/>
    <x v="0"/>
    <n v="3000000"/>
    <n v="875700"/>
    <x v="7"/>
  </r>
  <r>
    <s v="EXP0176"/>
    <d v="2025-08-15T00:00:00"/>
    <x v="2"/>
    <x v="2"/>
    <n v="118700"/>
    <x v="1"/>
    <x v="0"/>
    <n v="3000000"/>
    <n v="102800"/>
    <x v="7"/>
  </r>
  <r>
    <s v="EXP0004"/>
    <d v="2025-08-18T00:00:00"/>
    <x v="6"/>
    <x v="2"/>
    <n v="150000"/>
    <x v="3"/>
    <x v="0"/>
    <n v="1200000"/>
    <n v="1050000"/>
    <x v="7"/>
  </r>
  <r>
    <s v="EXP0138"/>
    <d v="2025-08-19T00:00:00"/>
    <x v="0"/>
    <x v="0"/>
    <n v="54900"/>
    <x v="0"/>
    <x v="0"/>
    <n v="2000000"/>
    <n v="786300"/>
    <x v="7"/>
  </r>
  <r>
    <s v="EXP0044"/>
    <d v="2025-08-21T00:00:00"/>
    <x v="2"/>
    <x v="4"/>
    <n v="129300"/>
    <x v="4"/>
    <x v="0"/>
    <n v="3000000"/>
    <n v="2337000"/>
    <x v="7"/>
  </r>
  <r>
    <s v="EXP0166"/>
    <d v="2025-08-22T00:00:00"/>
    <x v="3"/>
    <x v="7"/>
    <n v="76700"/>
    <x v="0"/>
    <x v="0"/>
    <n v="2500000"/>
    <n v="303300"/>
    <x v="7"/>
  </r>
  <r>
    <s v="EXP0177"/>
    <d v="2025-08-22T00:00:00"/>
    <x v="1"/>
    <x v="2"/>
    <n v="38100"/>
    <x v="1"/>
    <x v="1"/>
    <n v="700000"/>
    <n v="-1826300"/>
    <x v="7"/>
  </r>
  <r>
    <s v="EXP0095"/>
    <d v="2025-08-27T00:00:00"/>
    <x v="5"/>
    <x v="6"/>
    <n v="39500"/>
    <x v="1"/>
    <x v="0"/>
    <n v="900000"/>
    <n v="-277200"/>
    <x v="7"/>
  </r>
  <r>
    <s v="EXP0116"/>
    <d v="2025-08-27T00:00:00"/>
    <x v="5"/>
    <x v="2"/>
    <n v="60600"/>
    <x v="0"/>
    <x v="0"/>
    <n v="900000"/>
    <n v="-644500"/>
    <x v="7"/>
  </r>
  <r>
    <s v="EXP0100"/>
    <d v="2025-08-28T00:00:00"/>
    <x v="4"/>
    <x v="6"/>
    <n v="167900"/>
    <x v="4"/>
    <x v="0"/>
    <n v="1800000"/>
    <n v="122300"/>
    <x v="7"/>
  </r>
  <r>
    <s v="EXP0164"/>
    <d v="2025-08-31T00:00:00"/>
    <x v="0"/>
    <x v="4"/>
    <n v="72300"/>
    <x v="0"/>
    <x v="0"/>
    <n v="2000000"/>
    <n v="107400"/>
    <x v="7"/>
  </r>
  <r>
    <s v="EXP0084"/>
    <d v="2025-09-01T00:00:00"/>
    <x v="6"/>
    <x v="1"/>
    <n v="85100"/>
    <x v="4"/>
    <x v="0"/>
    <n v="1200000"/>
    <n v="42900"/>
    <x v="8"/>
  </r>
  <r>
    <s v="EXP0035"/>
    <d v="2025-09-06T00:00:00"/>
    <x v="4"/>
    <x v="7"/>
    <n v="134200"/>
    <x v="4"/>
    <x v="0"/>
    <n v="1800000"/>
    <n v="1151700"/>
    <x v="8"/>
  </r>
  <r>
    <s v="EXP0045"/>
    <d v="2025-09-07T00:00:00"/>
    <x v="4"/>
    <x v="5"/>
    <n v="55900"/>
    <x v="3"/>
    <x v="0"/>
    <n v="1800000"/>
    <n v="1059400"/>
    <x v="8"/>
  </r>
  <r>
    <s v="EXP0130"/>
    <d v="2025-09-09T00:00:00"/>
    <x v="3"/>
    <x v="6"/>
    <n v="106800"/>
    <x v="1"/>
    <x v="0"/>
    <n v="2500000"/>
    <n v="516300"/>
    <x v="8"/>
  </r>
  <r>
    <s v="EXP0149"/>
    <d v="2025-09-11T00:00:00"/>
    <x v="2"/>
    <x v="4"/>
    <n v="150800"/>
    <x v="4"/>
    <x v="0"/>
    <n v="3000000"/>
    <n v="551400"/>
    <x v="8"/>
  </r>
  <r>
    <s v="EXP0025"/>
    <d v="2025-09-17T00:00:00"/>
    <x v="6"/>
    <x v="5"/>
    <n v="29500"/>
    <x v="0"/>
    <x v="0"/>
    <n v="1200000"/>
    <n v="728500"/>
    <x v="8"/>
  </r>
  <r>
    <s v="EXP0160"/>
    <d v="2025-09-17T00:00:00"/>
    <x v="2"/>
    <x v="6"/>
    <n v="53400"/>
    <x v="2"/>
    <x v="0"/>
    <n v="3000000"/>
    <n v="437200"/>
    <x v="8"/>
  </r>
  <r>
    <s v="EXP0081"/>
    <d v="2025-09-19T00:00:00"/>
    <x v="5"/>
    <x v="7"/>
    <n v="122400"/>
    <x v="2"/>
    <x v="0"/>
    <n v="900000"/>
    <n v="123700"/>
    <x v="8"/>
  </r>
  <r>
    <s v="EXP0115"/>
    <d v="2025-09-25T00:00:00"/>
    <x v="0"/>
    <x v="2"/>
    <n v="114500"/>
    <x v="4"/>
    <x v="0"/>
    <n v="2000000"/>
    <n v="841200"/>
    <x v="8"/>
  </r>
  <r>
    <s v="EXP0021"/>
    <d v="2025-09-28T00:00:00"/>
    <x v="2"/>
    <x v="6"/>
    <n v="126300"/>
    <x v="3"/>
    <x v="0"/>
    <n v="3000000"/>
    <n v="2513600"/>
    <x v="8"/>
  </r>
  <r>
    <s v="EXP0026"/>
    <d v="2025-09-29T00:00:00"/>
    <x v="3"/>
    <x v="3"/>
    <n v="91200"/>
    <x v="3"/>
    <x v="1"/>
    <n v="2500000"/>
    <n v="1885800"/>
    <x v="8"/>
  </r>
  <r>
    <s v="EXP0047"/>
    <d v="2025-09-29T00:00:00"/>
    <x v="4"/>
    <x v="6"/>
    <n v="177800"/>
    <x v="3"/>
    <x v="1"/>
    <n v="1800000"/>
    <n v="881600"/>
    <x v="8"/>
  </r>
  <r>
    <s v="EXP0168"/>
    <d v="2025-10-01T00:00:00"/>
    <x v="5"/>
    <x v="3"/>
    <n v="116500"/>
    <x v="1"/>
    <x v="1"/>
    <n v="900000"/>
    <n v="-1568800"/>
    <x v="9"/>
  </r>
  <r>
    <s v="EXP0022"/>
    <d v="2025-10-02T00:00:00"/>
    <x v="1"/>
    <x v="2"/>
    <n v="142500"/>
    <x v="2"/>
    <x v="0"/>
    <n v="700000"/>
    <n v="323200"/>
    <x v="9"/>
  </r>
  <r>
    <s v="EXP0071"/>
    <d v="2025-10-02T00:00:00"/>
    <x v="2"/>
    <x v="6"/>
    <n v="22700"/>
    <x v="2"/>
    <x v="0"/>
    <n v="3000000"/>
    <n v="1805000"/>
    <x v="9"/>
  </r>
  <r>
    <s v="EXP0104"/>
    <d v="2025-10-04T00:00:00"/>
    <x v="3"/>
    <x v="3"/>
    <n v="42600"/>
    <x v="3"/>
    <x v="0"/>
    <n v="2500000"/>
    <n v="1182400"/>
    <x v="9"/>
  </r>
  <r>
    <s v="EXP0046"/>
    <d v="2025-10-05T00:00:00"/>
    <x v="3"/>
    <x v="3"/>
    <n v="12000"/>
    <x v="4"/>
    <x v="0"/>
    <n v="2500000"/>
    <n v="1681600"/>
    <x v="9"/>
  </r>
  <r>
    <s v="EXP0098"/>
    <d v="2025-10-07T00:00:00"/>
    <x v="1"/>
    <x v="5"/>
    <n v="91100"/>
    <x v="2"/>
    <x v="0"/>
    <n v="700000"/>
    <n v="-975700"/>
    <x v="9"/>
  </r>
  <r>
    <s v="EXP0090"/>
    <d v="2025-10-08T00:00:00"/>
    <x v="5"/>
    <x v="7"/>
    <n v="138000"/>
    <x v="1"/>
    <x v="0"/>
    <n v="900000"/>
    <n v="-237700"/>
    <x v="9"/>
  </r>
  <r>
    <s v="EXP0041"/>
    <d v="2025-10-09T00:00:00"/>
    <x v="3"/>
    <x v="6"/>
    <n v="121200"/>
    <x v="4"/>
    <x v="0"/>
    <n v="2500000"/>
    <n v="1764600"/>
    <x v="9"/>
  </r>
  <r>
    <s v="EXP0124"/>
    <d v="2025-10-09T00:00:00"/>
    <x v="2"/>
    <x v="3"/>
    <n v="130500"/>
    <x v="2"/>
    <x v="0"/>
    <n v="3000000"/>
    <n v="1117100"/>
    <x v="9"/>
  </r>
  <r>
    <s v="EXP0153"/>
    <d v="2025-10-09T00:00:00"/>
    <x v="4"/>
    <x v="2"/>
    <n v="81900"/>
    <x v="1"/>
    <x v="0"/>
    <n v="1800000"/>
    <n v="-365100"/>
    <x v="9"/>
  </r>
  <r>
    <s v="EXP0155"/>
    <d v="2025-10-10T00:00:00"/>
    <x v="5"/>
    <x v="1"/>
    <n v="42700"/>
    <x v="3"/>
    <x v="0"/>
    <n v="900000"/>
    <n v="-1100200"/>
    <x v="9"/>
  </r>
  <r>
    <s v="EXP0064"/>
    <d v="2025-10-14T00:00:00"/>
    <x v="1"/>
    <x v="4"/>
    <n v="180200"/>
    <x v="0"/>
    <x v="1"/>
    <n v="700000"/>
    <n v="-147400"/>
    <x v="9"/>
  </r>
  <r>
    <s v="EXP0133"/>
    <d v="2025-10-16T00:00:00"/>
    <x v="2"/>
    <x v="1"/>
    <n v="183900"/>
    <x v="3"/>
    <x v="0"/>
    <n v="3000000"/>
    <n v="933200"/>
    <x v="9"/>
  </r>
  <r>
    <s v="EXP0050"/>
    <d v="2025-10-17T00:00:00"/>
    <x v="6"/>
    <x v="3"/>
    <n v="173000"/>
    <x v="0"/>
    <x v="0"/>
    <n v="1200000"/>
    <n v="430100"/>
    <x v="9"/>
  </r>
  <r>
    <s v="EXP0180"/>
    <d v="2025-10-17T00:00:00"/>
    <x v="1"/>
    <x v="6"/>
    <n v="168600"/>
    <x v="1"/>
    <x v="0"/>
    <n v="700000"/>
    <n v="-1994900"/>
    <x v="9"/>
  </r>
  <r>
    <s v="EXP0049"/>
    <d v="2025-10-19T00:00:00"/>
    <x v="4"/>
    <x v="6"/>
    <n v="115200"/>
    <x v="1"/>
    <x v="0"/>
    <n v="1800000"/>
    <n v="766400"/>
    <x v="9"/>
  </r>
  <r>
    <s v="EXP0080"/>
    <d v="2025-10-24T00:00:00"/>
    <x v="6"/>
    <x v="3"/>
    <n v="86800"/>
    <x v="1"/>
    <x v="0"/>
    <n v="1200000"/>
    <n v="146600"/>
    <x v="9"/>
  </r>
  <r>
    <s v="EXP0161"/>
    <d v="2025-10-24T00:00:00"/>
    <x v="0"/>
    <x v="0"/>
    <n v="160300"/>
    <x v="1"/>
    <x v="0"/>
    <n v="2000000"/>
    <n v="179700"/>
    <x v="9"/>
  </r>
  <r>
    <s v="EXP0123"/>
    <d v="2025-10-25T00:00:00"/>
    <x v="2"/>
    <x v="0"/>
    <n v="103100"/>
    <x v="2"/>
    <x v="0"/>
    <n v="3000000"/>
    <n v="1247600"/>
    <x v="9"/>
  </r>
  <r>
    <s v="EXP0096"/>
    <d v="2025-10-27T00:00:00"/>
    <x v="0"/>
    <x v="6"/>
    <n v="158700"/>
    <x v="4"/>
    <x v="0"/>
    <n v="2000000"/>
    <n v="1087000"/>
    <x v="9"/>
  </r>
  <r>
    <s v="EXP0033"/>
    <d v="2025-10-29T00:00:00"/>
    <x v="4"/>
    <x v="6"/>
    <n v="14500"/>
    <x v="3"/>
    <x v="0"/>
    <n v="1800000"/>
    <n v="1285900"/>
    <x v="9"/>
  </r>
  <r>
    <s v="EXP0127"/>
    <d v="2025-10-29T00:00:00"/>
    <x v="1"/>
    <x v="2"/>
    <n v="181400"/>
    <x v="0"/>
    <x v="0"/>
    <n v="700000"/>
    <n v="-1503400"/>
    <x v="9"/>
  </r>
  <r>
    <s v="EXP0089"/>
    <d v="2025-11-01T00:00:00"/>
    <x v="2"/>
    <x v="0"/>
    <n v="113900"/>
    <x v="4"/>
    <x v="0"/>
    <n v="3000000"/>
    <n v="1691100"/>
    <x v="10"/>
  </r>
  <r>
    <s v="EXP0142"/>
    <d v="2025-11-01T00:00:00"/>
    <x v="0"/>
    <x v="2"/>
    <n v="82100"/>
    <x v="1"/>
    <x v="0"/>
    <n v="2000000"/>
    <n v="689600"/>
    <x v="10"/>
  </r>
  <r>
    <s v="EXP0144"/>
    <d v="2025-11-03T00:00:00"/>
    <x v="3"/>
    <x v="4"/>
    <n v="136300"/>
    <x v="4"/>
    <x v="0"/>
    <n v="2500000"/>
    <n v="380000"/>
    <x v="10"/>
  </r>
  <r>
    <s v="EXP0111"/>
    <d v="2025-11-04T00:00:00"/>
    <x v="1"/>
    <x v="1"/>
    <n v="147600"/>
    <x v="4"/>
    <x v="0"/>
    <n v="700000"/>
    <n v="-1322000"/>
    <x v="10"/>
  </r>
  <r>
    <s v="EXP0007"/>
    <d v="2025-11-06T00:00:00"/>
    <x v="2"/>
    <x v="6"/>
    <n v="135400"/>
    <x v="4"/>
    <x v="0"/>
    <n v="3000000"/>
    <n v="2864600"/>
    <x v="10"/>
  </r>
  <r>
    <s v="EXP0030"/>
    <d v="2025-11-07T00:00:00"/>
    <x v="5"/>
    <x v="5"/>
    <n v="172000"/>
    <x v="0"/>
    <x v="0"/>
    <n v="900000"/>
    <n v="655900"/>
    <x v="10"/>
  </r>
  <r>
    <s v="EXP0106"/>
    <d v="2025-11-15T00:00:00"/>
    <x v="4"/>
    <x v="5"/>
    <n v="24700"/>
    <x v="3"/>
    <x v="0"/>
    <n v="1800000"/>
    <n v="97600"/>
    <x v="10"/>
  </r>
  <r>
    <s v="EXP0152"/>
    <d v="2025-11-15T00:00:00"/>
    <x v="1"/>
    <x v="0"/>
    <n v="116300"/>
    <x v="3"/>
    <x v="0"/>
    <n v="700000"/>
    <n v="-1736000"/>
    <x v="10"/>
  </r>
  <r>
    <s v="EXP0140"/>
    <d v="2025-11-17T00:00:00"/>
    <x v="6"/>
    <x v="5"/>
    <n v="79500"/>
    <x v="4"/>
    <x v="0"/>
    <n v="1200000"/>
    <n v="-484600"/>
    <x v="10"/>
  </r>
  <r>
    <s v="EXP0154"/>
    <d v="2025-11-19T00:00:00"/>
    <x v="6"/>
    <x v="5"/>
    <n v="131700"/>
    <x v="2"/>
    <x v="0"/>
    <n v="1200000"/>
    <n v="-616300"/>
    <x v="10"/>
  </r>
  <r>
    <s v="EXP0058"/>
    <d v="2025-11-21T00:00:00"/>
    <x v="1"/>
    <x v="2"/>
    <n v="94200"/>
    <x v="2"/>
    <x v="1"/>
    <n v="700000"/>
    <n v="32800"/>
    <x v="10"/>
  </r>
  <r>
    <s v="EXP0082"/>
    <d v="2025-11-21T00:00:00"/>
    <x v="6"/>
    <x v="3"/>
    <n v="18600"/>
    <x v="0"/>
    <x v="0"/>
    <n v="1200000"/>
    <n v="128000"/>
    <x v="10"/>
  </r>
  <r>
    <s v="EXP0011"/>
    <d v="2025-11-22T00:00:00"/>
    <x v="1"/>
    <x v="3"/>
    <n v="31300"/>
    <x v="2"/>
    <x v="0"/>
    <n v="700000"/>
    <n v="668700"/>
    <x v="10"/>
  </r>
  <r>
    <s v="EXP0001"/>
    <d v="2025-11-24T00:00:00"/>
    <x v="3"/>
    <x v="6"/>
    <n v="137600"/>
    <x v="0"/>
    <x v="0"/>
    <n v="2500000"/>
    <n v="2362400"/>
    <x v="10"/>
  </r>
  <r>
    <s v="EXP0105"/>
    <d v="2025-11-30T00:00:00"/>
    <x v="3"/>
    <x v="6"/>
    <n v="175800"/>
    <x v="0"/>
    <x v="0"/>
    <n v="2500000"/>
    <n v="1006600"/>
    <x v="10"/>
  </r>
  <r>
    <s v="EXP0037"/>
    <d v="2025-12-04T00:00:00"/>
    <x v="5"/>
    <x v="3"/>
    <n v="79200"/>
    <x v="1"/>
    <x v="1"/>
    <n v="900000"/>
    <n v="576700"/>
    <x v="11"/>
  </r>
  <r>
    <s v="EXP0056"/>
    <d v="2025-12-06T00:00:00"/>
    <x v="3"/>
    <x v="7"/>
    <n v="50000"/>
    <x v="3"/>
    <x v="0"/>
    <n v="2500000"/>
    <n v="1516100"/>
    <x v="11"/>
  </r>
  <r>
    <s v="EXP0076"/>
    <d v="2025-12-06T00:00:00"/>
    <x v="1"/>
    <x v="1"/>
    <n v="133600"/>
    <x v="2"/>
    <x v="0"/>
    <n v="700000"/>
    <n v="-569800"/>
    <x v="11"/>
  </r>
  <r>
    <s v="EXP0077"/>
    <d v="2025-12-08T00:00:00"/>
    <x v="5"/>
    <x v="3"/>
    <n v="75300"/>
    <x v="2"/>
    <x v="0"/>
    <n v="900000"/>
    <n v="429200"/>
    <x v="11"/>
  </r>
  <r>
    <s v="EXP0175"/>
    <d v="2025-12-08T00:00:00"/>
    <x v="3"/>
    <x v="0"/>
    <n v="166900"/>
    <x v="4"/>
    <x v="0"/>
    <n v="2500000"/>
    <n v="136400"/>
    <x v="11"/>
  </r>
  <r>
    <s v="EXP0118"/>
    <d v="2025-12-09T00:00:00"/>
    <x v="5"/>
    <x v="3"/>
    <n v="6800"/>
    <x v="2"/>
    <x v="0"/>
    <n v="900000"/>
    <n v="-651300"/>
    <x v="11"/>
  </r>
  <r>
    <s v="EXP0075"/>
    <d v="2025-12-10T00:00:00"/>
    <x v="4"/>
    <x v="3"/>
    <n v="80600"/>
    <x v="2"/>
    <x v="0"/>
    <n v="1800000"/>
    <n v="290200"/>
    <x v="11"/>
  </r>
  <r>
    <s v="EXP0020"/>
    <d v="2025-12-15T00:00:00"/>
    <x v="5"/>
    <x v="1"/>
    <n v="72100"/>
    <x v="4"/>
    <x v="1"/>
    <n v="900000"/>
    <n v="827900"/>
    <x v="11"/>
  </r>
  <r>
    <s v="EXP0110"/>
    <d v="2025-12-20T00:00:00"/>
    <x v="1"/>
    <x v="5"/>
    <n v="20200"/>
    <x v="2"/>
    <x v="1"/>
    <n v="700000"/>
    <n v="-1174400"/>
    <x v="11"/>
  </r>
  <r>
    <s v="EXP0126"/>
    <d v="2025-12-20T00:00:00"/>
    <x v="4"/>
    <x v="5"/>
    <n v="41200"/>
    <x v="1"/>
    <x v="0"/>
    <n v="1800000"/>
    <n v="56400"/>
    <x v="11"/>
  </r>
  <r>
    <s v="EXP0171"/>
    <d v="2025-12-22T00:00:00"/>
    <x v="2"/>
    <x v="6"/>
    <n v="9900"/>
    <x v="3"/>
    <x v="0"/>
    <n v="3000000"/>
    <n v="221500"/>
    <x v="11"/>
  </r>
  <r>
    <s v="EXP0085"/>
    <d v="2025-12-23T00:00:00"/>
    <x v="5"/>
    <x v="0"/>
    <n v="74800"/>
    <x v="0"/>
    <x v="0"/>
    <n v="900000"/>
    <n v="48900"/>
    <x v="11"/>
  </r>
  <r>
    <s v="EXP0087"/>
    <d v="2025-12-23T00:00:00"/>
    <x v="6"/>
    <x v="0"/>
    <n v="10700"/>
    <x v="0"/>
    <x v="1"/>
    <n v="1200000"/>
    <n v="32200"/>
    <x v="11"/>
  </r>
  <r>
    <s v="EXP0163"/>
    <d v="2025-12-24T00:00:00"/>
    <x v="4"/>
    <x v="4"/>
    <n v="44400"/>
    <x v="1"/>
    <x v="0"/>
    <n v="1800000"/>
    <n v="-409500"/>
    <x v="11"/>
  </r>
  <r>
    <s v="EXP0143"/>
    <d v="2025-12-25T00:00:00"/>
    <x v="5"/>
    <x v="2"/>
    <n v="93300"/>
    <x v="1"/>
    <x v="0"/>
    <n v="900000"/>
    <n v="-887900"/>
    <x v="11"/>
  </r>
  <r>
    <s v="EXP0179"/>
    <d v="2025-12-25T00:00:00"/>
    <x v="2"/>
    <x v="6"/>
    <n v="181000"/>
    <x v="1"/>
    <x v="0"/>
    <n v="3000000"/>
    <n v="-78200"/>
    <x v="11"/>
  </r>
  <r>
    <s v="EXP0055"/>
    <d v="2025-12-27T00:00:00"/>
    <x v="2"/>
    <x v="6"/>
    <n v="124100"/>
    <x v="4"/>
    <x v="0"/>
    <n v="3000000"/>
    <n v="221290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8BA0F-7F90-47A8-A266-6D0CB63E2960}" name="PT_BudgetVsActual"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5:F32" firstHeaderRow="0" firstDataRow="1" firstDataCol="1"/>
  <pivotFields count="10">
    <pivotField compact="0" outline="0" showAll="0"/>
    <pivotField compact="0" numFmtId="164" outline="0" showAll="0"/>
    <pivotField axis="axisRow" compact="0" outline="0" showAll="0">
      <items count="8">
        <item x="1"/>
        <item x="6"/>
        <item x="5"/>
        <item x="2"/>
        <item x="4"/>
        <item x="0"/>
        <item x="3"/>
        <item t="default"/>
      </items>
    </pivotField>
    <pivotField compact="0" outline="0" showAll="0"/>
    <pivotField dataField="1" compact="0" numFmtId="165" outline="0" showAll="0"/>
    <pivotField compact="0" outline="0" showAll="0"/>
    <pivotField compact="0" outline="0" showAll="0"/>
    <pivotField dataField="1" compact="0" numFmtId="165" outline="0" showAll="0"/>
    <pivotField compact="0" numFmtId="165" outline="0" showAll="0"/>
    <pivotField compact="0" outline="0" showAll="0">
      <items count="13">
        <item h="1" x="0"/>
        <item h="1" x="1"/>
        <item h="1" x="2"/>
        <item h="1" x="3"/>
        <item h="1" x="4"/>
        <item h="1" x="5"/>
        <item h="1" x="6"/>
        <item h="1" x="7"/>
        <item h="1" x="8"/>
        <item h="1" x="9"/>
        <item h="1" x="10"/>
        <item x="11"/>
        <item t="default"/>
      </items>
    </pivotField>
  </pivotFields>
  <rowFields count="1">
    <field x="2"/>
  </rowFields>
  <rowItems count="7">
    <i>
      <x/>
    </i>
    <i>
      <x v="1"/>
    </i>
    <i>
      <x v="2"/>
    </i>
    <i>
      <x v="3"/>
    </i>
    <i>
      <x v="4"/>
    </i>
    <i>
      <x v="6"/>
    </i>
    <i t="grand">
      <x/>
    </i>
  </rowItems>
  <colFields count="1">
    <field x="-2"/>
  </colFields>
  <colItems count="2">
    <i>
      <x/>
    </i>
    <i i="1">
      <x v="1"/>
    </i>
  </colItems>
  <dataFields count="2">
    <dataField name="Actual Spent" fld="4" baseField="0" baseItem="0" numFmtId="165"/>
    <dataField name="Sum of Budget Allocated" fld="7" baseField="0" baseItem="0" numFmtId="165"/>
  </dataFields>
  <formats count="12">
    <format dxfId="701">
      <pivotArea type="all" dataOnly="0" outline="0" fieldPosition="0"/>
    </format>
    <format dxfId="700">
      <pivotArea outline="0" collapsedLevelsAreSubtotals="1" fieldPosition="0"/>
    </format>
    <format dxfId="699">
      <pivotArea field="2" type="button" dataOnly="0" labelOnly="1" outline="0" axis="axisRow" fieldPosition="0"/>
    </format>
    <format dxfId="698">
      <pivotArea dataOnly="0" labelOnly="1" outline="0" fieldPosition="0">
        <references count="1">
          <reference field="2" count="0"/>
        </references>
      </pivotArea>
    </format>
    <format dxfId="697">
      <pivotArea dataOnly="0" labelOnly="1" grandRow="1" outline="0" fieldPosition="0"/>
    </format>
    <format dxfId="696">
      <pivotArea dataOnly="0" labelOnly="1" outline="0" fieldPosition="0">
        <references count="1">
          <reference field="4294967294" count="2">
            <x v="0"/>
            <x v="1"/>
          </reference>
        </references>
      </pivotArea>
    </format>
    <format dxfId="695">
      <pivotArea type="all" dataOnly="0" outline="0" fieldPosition="0"/>
    </format>
    <format dxfId="694">
      <pivotArea outline="0" collapsedLevelsAreSubtotals="1" fieldPosition="0"/>
    </format>
    <format dxfId="693">
      <pivotArea field="2" type="button" dataOnly="0" labelOnly="1" outline="0" axis="axisRow" fieldPosition="0"/>
    </format>
    <format dxfId="692">
      <pivotArea dataOnly="0" labelOnly="1" outline="0" fieldPosition="0">
        <references count="1">
          <reference field="2" count="0"/>
        </references>
      </pivotArea>
    </format>
    <format dxfId="691">
      <pivotArea dataOnly="0" labelOnly="1" grandRow="1" outline="0" fieldPosition="0"/>
    </format>
    <format dxfId="69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7A36F-3818-4D92-A7A6-E0F41B78BF13}" name="PT_PaymentMethod"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5:B31" firstHeaderRow="1" firstDataRow="1" firstDataCol="1"/>
  <pivotFields count="10">
    <pivotField compact="0" outline="0" showAll="0"/>
    <pivotField compact="0" numFmtId="164" outline="0" showAll="0"/>
    <pivotField compact="0" outline="0" showAll="0">
      <items count="8">
        <item x="1"/>
        <item x="6"/>
        <item x="5"/>
        <item x="2"/>
        <item x="4"/>
        <item x="0"/>
        <item x="3"/>
        <item t="default"/>
      </items>
    </pivotField>
    <pivotField compact="0" outline="0" showAll="0"/>
    <pivotField dataField="1" compact="0" numFmtId="165" outline="0" showAll="0"/>
    <pivotField axis="axisRow" compact="0" outline="0" showAll="0">
      <items count="6">
        <item x="0"/>
        <item x="2"/>
        <item x="4"/>
        <item x="3"/>
        <item x="1"/>
        <item t="default"/>
      </items>
    </pivotField>
    <pivotField compact="0" outline="0" showAll="0"/>
    <pivotField compact="0" numFmtId="165" outline="0" showAll="0"/>
    <pivotField compact="0" numFmtId="165" outline="0" showAll="0"/>
    <pivotField compact="0" outline="0" showAll="0">
      <items count="13">
        <item h="1" x="0"/>
        <item h="1" x="1"/>
        <item h="1" x="2"/>
        <item h="1" x="3"/>
        <item h="1" x="4"/>
        <item h="1" x="5"/>
        <item h="1" x="6"/>
        <item h="1" x="7"/>
        <item h="1" x="8"/>
        <item h="1" x="9"/>
        <item h="1" x="10"/>
        <item x="11"/>
        <item t="default"/>
      </items>
    </pivotField>
  </pivotFields>
  <rowFields count="1">
    <field x="5"/>
  </rowFields>
  <rowItems count="6">
    <i>
      <x/>
    </i>
    <i>
      <x v="1"/>
    </i>
    <i>
      <x v="2"/>
    </i>
    <i>
      <x v="3"/>
    </i>
    <i>
      <x v="4"/>
    </i>
    <i t="grand">
      <x/>
    </i>
  </rowItems>
  <colItems count="1">
    <i/>
  </colItems>
  <dataFields count="1">
    <dataField name="Sum of Amount (INR)" fld="4" baseField="0" baseItem="0" numFmtId="165"/>
  </dataFields>
  <formats count="12">
    <format dxfId="713">
      <pivotArea type="all" dataOnly="0" outline="0" fieldPosition="0"/>
    </format>
    <format dxfId="712">
      <pivotArea outline="0" collapsedLevelsAreSubtotals="1" fieldPosition="0"/>
    </format>
    <format dxfId="711">
      <pivotArea field="5" type="button" dataOnly="0" labelOnly="1" outline="0" axis="axisRow" fieldPosition="0"/>
    </format>
    <format dxfId="710">
      <pivotArea dataOnly="0" labelOnly="1" outline="0" fieldPosition="0">
        <references count="1">
          <reference field="5" count="0"/>
        </references>
      </pivotArea>
    </format>
    <format dxfId="709">
      <pivotArea dataOnly="0" labelOnly="1" grandRow="1" outline="0" fieldPosition="0"/>
    </format>
    <format dxfId="708">
      <pivotArea dataOnly="0" labelOnly="1" outline="0" axis="axisValues" fieldPosition="0"/>
    </format>
    <format dxfId="707">
      <pivotArea type="all" dataOnly="0" outline="0" fieldPosition="0"/>
    </format>
    <format dxfId="706">
      <pivotArea outline="0" collapsedLevelsAreSubtotals="1" fieldPosition="0"/>
    </format>
    <format dxfId="705">
      <pivotArea field="5" type="button" dataOnly="0" labelOnly="1" outline="0" axis="axisRow" fieldPosition="0"/>
    </format>
    <format dxfId="704">
      <pivotArea dataOnly="0" labelOnly="1" outline="0" fieldPosition="0">
        <references count="1">
          <reference field="5" count="0"/>
        </references>
      </pivotArea>
    </format>
    <format dxfId="703">
      <pivotArea dataOnly="0" labelOnly="1" grandRow="1" outline="0" fieldPosition="0"/>
    </format>
    <format dxfId="7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9ABD25-5536-428A-A59B-17E6807D8120}" name="PT_KPI"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P4" firstHeaderRow="0" firstDataRow="1" firstDataCol="0"/>
  <pivotFields count="10">
    <pivotField dataField="1" showAll="0"/>
    <pivotField numFmtId="164" showAll="0"/>
    <pivotField showAll="0">
      <items count="8">
        <item x="1"/>
        <item x="6"/>
        <item x="5"/>
        <item x="2"/>
        <item x="4"/>
        <item x="0"/>
        <item x="3"/>
        <item t="default"/>
      </items>
    </pivotField>
    <pivotField showAll="0"/>
    <pivotField dataField="1" numFmtId="165" showAll="0"/>
    <pivotField showAll="0"/>
    <pivotField showAll="0"/>
    <pivotField dataField="1" numFmtId="165" showAll="0"/>
    <pivotField dataField="1" numFmtId="165" showAll="0"/>
    <pivotField showAll="0">
      <items count="13">
        <item h="1" x="0"/>
        <item h="1" x="1"/>
        <item h="1" x="2"/>
        <item h="1" x="3"/>
        <item h="1" x="4"/>
        <item h="1" x="5"/>
        <item h="1" x="6"/>
        <item h="1" x="7"/>
        <item h="1" x="8"/>
        <item h="1" x="9"/>
        <item h="1" x="10"/>
        <item x="11"/>
        <item t="default"/>
      </items>
    </pivotField>
  </pivotFields>
  <rowItems count="1">
    <i/>
  </rowItems>
  <colFields count="1">
    <field x="-2"/>
  </colFields>
  <colItems count="4">
    <i>
      <x/>
    </i>
    <i i="1">
      <x v="1"/>
    </i>
    <i i="2">
      <x v="2"/>
    </i>
    <i i="3">
      <x v="3"/>
    </i>
  </colItems>
  <dataFields count="4">
    <dataField name="Sum of Amount (INR)" fld="4" baseField="0" baseItem="0" numFmtId="165"/>
    <dataField name="Sum of Budget Allocated" fld="7" baseField="0" baseItem="0" numFmtId="165"/>
    <dataField name="Sum of Budget Remaining" fld="8" baseField="0" baseItem="0" numFmtId="165"/>
    <dataField name="Count of Expense ID" fld="0" subtotal="count" baseField="0" baseItem="0" numFmtId="3"/>
  </dataFields>
  <formats count="8">
    <format dxfId="721">
      <pivotArea outline="0" collapsedLevelsAreSubtotals="1" fieldPosition="0"/>
    </format>
    <format dxfId="720">
      <pivotArea outline="0" collapsedLevelsAreSubtotals="1" fieldPosition="0">
        <references count="1">
          <reference field="4294967294" count="1" selected="0">
            <x v="3"/>
          </reference>
        </references>
      </pivotArea>
    </format>
    <format dxfId="719">
      <pivotArea type="all" dataOnly="0" outline="0" fieldPosition="0"/>
    </format>
    <format dxfId="718">
      <pivotArea outline="0" collapsedLevelsAreSubtotals="1" fieldPosition="0"/>
    </format>
    <format dxfId="717">
      <pivotArea dataOnly="0" labelOnly="1" outline="0" fieldPosition="0">
        <references count="1">
          <reference field="4294967294" count="4">
            <x v="0"/>
            <x v="1"/>
            <x v="2"/>
            <x v="3"/>
          </reference>
        </references>
      </pivotArea>
    </format>
    <format dxfId="716">
      <pivotArea type="all" dataOnly="0" outline="0" fieldPosition="0"/>
    </format>
    <format dxfId="715">
      <pivotArea outline="0" collapsedLevelsAreSubtotals="1" fieldPosition="0"/>
    </format>
    <format dxfId="71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8173FB-A7FA-4C7D-9231-4D1B2C117BC8}" name="PT_ApprovedStatus"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L6" firstHeaderRow="0" firstDataRow="1" firstDataCol="1"/>
  <pivotFields count="10">
    <pivotField dataField="1" compact="0" outline="0" showAll="0"/>
    <pivotField compact="0" numFmtId="164" outline="0" showAll="0"/>
    <pivotField compact="0" outline="0" showAll="0">
      <items count="8">
        <item x="1"/>
        <item x="6"/>
        <item x="5"/>
        <item x="2"/>
        <item x="4"/>
        <item x="0"/>
        <item x="3"/>
        <item t="default"/>
      </items>
    </pivotField>
    <pivotField compact="0" outline="0" showAll="0"/>
    <pivotField dataField="1" compact="0" numFmtId="165" outline="0" showAll="0"/>
    <pivotField compact="0" outline="0" showAll="0"/>
    <pivotField axis="axisRow" compact="0" outline="0" showAll="0">
      <items count="3">
        <item x="1"/>
        <item x="0"/>
        <item t="default"/>
      </items>
    </pivotField>
    <pivotField compact="0" numFmtId="165" outline="0" showAll="0"/>
    <pivotField compact="0" numFmtId="165" outline="0" showAll="0"/>
    <pivotField compact="0" outline="0" showAll="0">
      <items count="13">
        <item h="1" x="0"/>
        <item h="1" x="1"/>
        <item h="1" x="2"/>
        <item h="1" x="3"/>
        <item h="1" x="4"/>
        <item h="1" x="5"/>
        <item h="1" x="6"/>
        <item h="1" x="7"/>
        <item h="1" x="8"/>
        <item h="1" x="9"/>
        <item h="1" x="10"/>
        <item x="11"/>
        <item t="default"/>
      </items>
    </pivotField>
  </pivotFields>
  <rowFields count="1">
    <field x="6"/>
  </rowFields>
  <rowItems count="3">
    <i>
      <x/>
    </i>
    <i>
      <x v="1"/>
    </i>
    <i t="grand">
      <x/>
    </i>
  </rowItems>
  <colFields count="1">
    <field x="-2"/>
  </colFields>
  <colItems count="2">
    <i>
      <x/>
    </i>
    <i i="1">
      <x v="1"/>
    </i>
  </colItems>
  <dataFields count="2">
    <dataField name="Sum of Amount (INR)" fld="4" baseField="0" baseItem="0" numFmtId="165"/>
    <dataField name="Count of Expense ID" fld="0" subtotal="count" baseField="0" baseItem="0"/>
  </dataFields>
  <formats count="1">
    <format dxfId="722">
      <pivotArea outline="0" fieldPosition="0">
        <references count="2">
          <reference field="4294967294" count="1" selected="0">
            <x v="1"/>
          </reference>
          <reference field="6"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9DB1B9-BE9A-4717-8157-C42B9F93C0DF}" name="PT_MonthlyTrend"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H5" firstHeaderRow="1" firstDataRow="1" firstDataCol="1"/>
  <pivotFields count="10">
    <pivotField compact="0" outline="0" showAll="0"/>
    <pivotField compact="0" numFmtId="164" outline="0" showAll="0"/>
    <pivotField compact="0" outline="0" showAll="0">
      <items count="8">
        <item x="1"/>
        <item x="6"/>
        <item x="5"/>
        <item x="2"/>
        <item x="4"/>
        <item x="0"/>
        <item x="3"/>
        <item t="default"/>
      </items>
    </pivotField>
    <pivotField compact="0" outline="0" showAll="0"/>
    <pivotField dataField="1" compact="0" numFmtId="165" outline="0" showAll="0"/>
    <pivotField compact="0" outline="0" showAll="0"/>
    <pivotField compact="0" outline="0" showAll="0"/>
    <pivotField compact="0" numFmtId="165" outline="0" showAll="0"/>
    <pivotField compact="0" numFmtId="165" outline="0" showAll="0"/>
    <pivotField axis="axisRow" compact="0" outline="0" showAll="0" sortType="ascending">
      <items count="13">
        <item h="1" x="0"/>
        <item h="1" x="1"/>
        <item h="1" x="2"/>
        <item h="1" x="3"/>
        <item h="1" x="4"/>
        <item h="1" x="5"/>
        <item h="1" x="6"/>
        <item h="1" x="7"/>
        <item h="1" x="8"/>
        <item h="1" x="9"/>
        <item h="1" x="10"/>
        <item x="11"/>
        <item t="default"/>
      </items>
    </pivotField>
  </pivotFields>
  <rowFields count="1">
    <field x="9"/>
  </rowFields>
  <rowItems count="2">
    <i>
      <x v="11"/>
    </i>
    <i t="grand">
      <x/>
    </i>
  </rowItems>
  <colItems count="1">
    <i/>
  </colItems>
  <dataFields count="1">
    <dataField name="Sum of Amount (INR)" fld="4" baseField="0" baseItem="0" numFmtId="165"/>
  </dataFields>
  <formats count="12">
    <format dxfId="734">
      <pivotArea type="all" dataOnly="0" outline="0" fieldPosition="0"/>
    </format>
    <format dxfId="733">
      <pivotArea outline="0" collapsedLevelsAreSubtotals="1" fieldPosition="0"/>
    </format>
    <format dxfId="732">
      <pivotArea field="9" type="button" dataOnly="0" labelOnly="1" outline="0" axis="axisRow" fieldPosition="0"/>
    </format>
    <format dxfId="731">
      <pivotArea dataOnly="0" labelOnly="1" outline="0" fieldPosition="0">
        <references count="1">
          <reference field="9" count="0"/>
        </references>
      </pivotArea>
    </format>
    <format dxfId="730">
      <pivotArea dataOnly="0" labelOnly="1" grandRow="1" outline="0" fieldPosition="0"/>
    </format>
    <format dxfId="729">
      <pivotArea dataOnly="0" labelOnly="1" outline="0" axis="axisValues" fieldPosition="0"/>
    </format>
    <format dxfId="728">
      <pivotArea type="all" dataOnly="0" outline="0" fieldPosition="0"/>
    </format>
    <format dxfId="727">
      <pivotArea outline="0" collapsedLevelsAreSubtotals="1" fieldPosition="0"/>
    </format>
    <format dxfId="726">
      <pivotArea field="9" type="button" dataOnly="0" labelOnly="1" outline="0" axis="axisRow" fieldPosition="0"/>
    </format>
    <format dxfId="725">
      <pivotArea dataOnly="0" labelOnly="1" outline="0" fieldPosition="0">
        <references count="1">
          <reference field="9" count="0"/>
        </references>
      </pivotArea>
    </format>
    <format dxfId="724">
      <pivotArea dataOnly="0" labelOnly="1" grandRow="1" outline="0" fieldPosition="0"/>
    </format>
    <format dxfId="7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7590A7-C72A-4360-BBBD-51763C0C7770}" name="PT_ExpenseByCategory"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E12" firstHeaderRow="1" firstDataRow="1" firstDataCol="1"/>
  <pivotFields count="10">
    <pivotField compact="0" outline="0" showAll="0"/>
    <pivotField compact="0" numFmtId="164" outline="0" showAll="0"/>
    <pivotField compact="0" outline="0" showAll="0">
      <items count="8">
        <item x="1"/>
        <item x="6"/>
        <item x="5"/>
        <item x="2"/>
        <item x="4"/>
        <item x="0"/>
        <item x="3"/>
        <item t="default"/>
      </items>
    </pivotField>
    <pivotField axis="axisRow" compact="0" outline="0" showAll="0">
      <items count="9">
        <item x="3"/>
        <item x="4"/>
        <item x="0"/>
        <item x="1"/>
        <item x="7"/>
        <item x="2"/>
        <item x="6"/>
        <item x="5"/>
        <item t="default"/>
      </items>
    </pivotField>
    <pivotField dataField="1" compact="0" numFmtId="165" outline="0" showAll="0"/>
    <pivotField compact="0" outline="0" showAll="0"/>
    <pivotField compact="0" outline="0" showAll="0"/>
    <pivotField compact="0" numFmtId="165" outline="0" showAll="0"/>
    <pivotField compact="0" numFmtId="165" outline="0" showAll="0"/>
    <pivotField compact="0" outline="0" showAll="0">
      <items count="13">
        <item h="1" x="0"/>
        <item h="1" x="1"/>
        <item h="1" x="2"/>
        <item h="1" x="3"/>
        <item h="1" x="4"/>
        <item h="1" x="5"/>
        <item h="1" x="6"/>
        <item h="1" x="7"/>
        <item h="1" x="8"/>
        <item h="1" x="9"/>
        <item h="1" x="10"/>
        <item x="11"/>
        <item t="default"/>
      </items>
    </pivotField>
  </pivotFields>
  <rowFields count="1">
    <field x="3"/>
  </rowFields>
  <rowItems count="9">
    <i>
      <x/>
    </i>
    <i>
      <x v="1"/>
    </i>
    <i>
      <x v="2"/>
    </i>
    <i>
      <x v="3"/>
    </i>
    <i>
      <x v="4"/>
    </i>
    <i>
      <x v="5"/>
    </i>
    <i>
      <x v="6"/>
    </i>
    <i>
      <x v="7"/>
    </i>
    <i t="grand">
      <x/>
    </i>
  </rowItems>
  <colItems count="1">
    <i/>
  </colItems>
  <dataFields count="1">
    <dataField name="Sum of Amount (INR)" fld="4" baseField="0" baseItem="0" numFmtId="165"/>
  </dataFields>
  <formats count="12">
    <format dxfId="746">
      <pivotArea type="all" dataOnly="0" outline="0" fieldPosition="0"/>
    </format>
    <format dxfId="745">
      <pivotArea outline="0" collapsedLevelsAreSubtotals="1" fieldPosition="0"/>
    </format>
    <format dxfId="744">
      <pivotArea field="3" type="button" dataOnly="0" labelOnly="1" outline="0" axis="axisRow" fieldPosition="0"/>
    </format>
    <format dxfId="743">
      <pivotArea dataOnly="0" labelOnly="1" outline="0" fieldPosition="0">
        <references count="1">
          <reference field="3" count="0"/>
        </references>
      </pivotArea>
    </format>
    <format dxfId="742">
      <pivotArea dataOnly="0" labelOnly="1" grandRow="1" outline="0" fieldPosition="0"/>
    </format>
    <format dxfId="741">
      <pivotArea dataOnly="0" labelOnly="1" outline="0" axis="axisValues" fieldPosition="0"/>
    </format>
    <format dxfId="740">
      <pivotArea type="all" dataOnly="0" outline="0" fieldPosition="0"/>
    </format>
    <format dxfId="739">
      <pivotArea outline="0" collapsedLevelsAreSubtotals="1" fieldPosition="0"/>
    </format>
    <format dxfId="738">
      <pivotArea field="3" type="button" dataOnly="0" labelOnly="1" outline="0" axis="axisRow" fieldPosition="0"/>
    </format>
    <format dxfId="737">
      <pivotArea dataOnly="0" labelOnly="1" outline="0" fieldPosition="0">
        <references count="1">
          <reference field="3" count="0"/>
        </references>
      </pivotArea>
    </format>
    <format dxfId="736">
      <pivotArea dataOnly="0" labelOnly="1" grandRow="1" outline="0" fieldPosition="0"/>
    </format>
    <format dxfId="7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1CE3AD-04EE-4453-86C2-6352FB41E417}" name="PT_ExpenseByDepartment"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0" firstHeaderRow="1" firstDataRow="1" firstDataCol="1"/>
  <pivotFields count="10">
    <pivotField compact="0" outline="0" showAll="0"/>
    <pivotField compact="0" numFmtId="164" outline="0" showAll="0"/>
    <pivotField axis="axisRow" compact="0" outline="0" showAll="0">
      <items count="8">
        <item x="1"/>
        <item x="6"/>
        <item x="5"/>
        <item x="2"/>
        <item x="4"/>
        <item x="0"/>
        <item x="3"/>
        <item t="default"/>
      </items>
    </pivotField>
    <pivotField compact="0" outline="0" showAll="0"/>
    <pivotField dataField="1" compact="0" numFmtId="165" outline="0" showAll="0"/>
    <pivotField compact="0" outline="0" showAll="0"/>
    <pivotField compact="0" outline="0" showAll="0"/>
    <pivotField compact="0" numFmtId="165" outline="0" showAll="0"/>
    <pivotField compact="0" numFmtId="165" outline="0" showAll="0"/>
    <pivotField compact="0" outline="0" showAll="0">
      <items count="13">
        <item h="1" x="0"/>
        <item h="1" x="1"/>
        <item h="1" x="2"/>
        <item h="1" x="3"/>
        <item h="1" x="4"/>
        <item h="1" x="5"/>
        <item h="1" x="6"/>
        <item h="1" x="7"/>
        <item h="1" x="8"/>
        <item h="1" x="9"/>
        <item h="1" x="10"/>
        <item x="11"/>
        <item t="default"/>
      </items>
    </pivotField>
  </pivotFields>
  <rowFields count="1">
    <field x="2"/>
  </rowFields>
  <rowItems count="7">
    <i>
      <x/>
    </i>
    <i>
      <x v="1"/>
    </i>
    <i>
      <x v="2"/>
    </i>
    <i>
      <x v="3"/>
    </i>
    <i>
      <x v="4"/>
    </i>
    <i>
      <x v="6"/>
    </i>
    <i t="grand">
      <x/>
    </i>
  </rowItems>
  <colItems count="1">
    <i/>
  </colItems>
  <dataFields count="1">
    <dataField name="Sum of Amount (INR)" fld="4" baseField="0" baseItem="0" numFmtId="165"/>
  </dataFields>
  <formats count="12">
    <format dxfId="758">
      <pivotArea type="all" dataOnly="0" outline="0" fieldPosition="0"/>
    </format>
    <format dxfId="757">
      <pivotArea outline="0" collapsedLevelsAreSubtotals="1" fieldPosition="0"/>
    </format>
    <format dxfId="756">
      <pivotArea field="2" type="button" dataOnly="0" labelOnly="1" outline="0" axis="axisRow" fieldPosition="0"/>
    </format>
    <format dxfId="755">
      <pivotArea dataOnly="0" labelOnly="1" outline="0" fieldPosition="0">
        <references count="1">
          <reference field="2" count="0"/>
        </references>
      </pivotArea>
    </format>
    <format dxfId="754">
      <pivotArea dataOnly="0" labelOnly="1" grandRow="1" outline="0" fieldPosition="0"/>
    </format>
    <format dxfId="753">
      <pivotArea dataOnly="0" labelOnly="1" outline="0" axis="axisValues" fieldPosition="0"/>
    </format>
    <format dxfId="752">
      <pivotArea type="all" dataOnly="0" outline="0" fieldPosition="0"/>
    </format>
    <format dxfId="751">
      <pivotArea outline="0" collapsedLevelsAreSubtotals="1" fieldPosition="0"/>
    </format>
    <format dxfId="750">
      <pivotArea field="2" type="button" dataOnly="0" labelOnly="1" outline="0" axis="axisRow" fieldPosition="0"/>
    </format>
    <format dxfId="749">
      <pivotArea dataOnly="0" labelOnly="1" outline="0" fieldPosition="0">
        <references count="1">
          <reference field="2" count="0"/>
        </references>
      </pivotArea>
    </format>
    <format dxfId="748">
      <pivotArea dataOnly="0" labelOnly="1" grandRow="1" outline="0" fieldPosition="0"/>
    </format>
    <format dxfId="7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D66CE6D-CE7E-4969-B57D-B868C9C6FF1E}" sourceName="Month">
  <pivotTables>
    <pivotTable tabId="3" name="PT_ExpenseByDepartment"/>
    <pivotTable tabId="3" name="PT_ExpenseByCategory"/>
    <pivotTable tabId="3" name="PT_MonthlyTrend"/>
    <pivotTable tabId="3" name="PT_ApprovedStatus"/>
    <pivotTable tabId="3" name="PT_KPI"/>
    <pivotTable tabId="3" name="PT_PaymentMethod"/>
    <pivotTable tabId="3" name="PT_BudgetVsActual"/>
  </pivotTables>
  <data>
    <tabular pivotCacheId="117670795">
      <items count="12">
        <i x="0"/>
        <i x="1"/>
        <i x="2"/>
        <i x="3"/>
        <i x="4"/>
        <i x="5"/>
        <i x="6"/>
        <i x="7"/>
        <i x="8"/>
        <i x="9"/>
        <i x="10"/>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9C6F12A-6BA1-4D2E-9250-D23C4B404E5D}" sourceName="Department">
  <pivotTables>
    <pivotTable tabId="3" name="PT_ExpenseByDepartment"/>
    <pivotTable tabId="3" name="PT_ExpenseByCategory"/>
    <pivotTable tabId="3" name="PT_MonthlyTrend"/>
    <pivotTable tabId="3" name="PT_ApprovedStatus"/>
    <pivotTable tabId="3" name="PT_KPI"/>
    <pivotTable tabId="3" name="PT_PaymentMethod"/>
    <pivotTable tabId="3" name="PT_BudgetVsActual"/>
  </pivotTables>
  <data>
    <tabular pivotCacheId="117670795">
      <items count="7">
        <i x="1" s="1"/>
        <i x="6" s="1"/>
        <i x="5" s="1"/>
        <i x="2" s="1"/>
        <i x="4" s="1"/>
        <i x="3"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8A2D075-49A7-4D55-A993-D796D6B9ACE7}" cache="Slicer_Month" caption="Month" columnCount="4" style="SlicerStyleLight6" rowHeight="234950"/>
  <slicer name="Department" xr10:uid="{2C499294-F69F-4826-AA47-C08A6256D138}" cache="Slicer_Department" caption="Department" columnCount="6"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094870-060B-4535-95CC-F61F0B7D7849}" name="tblExpenses" displayName="tblExpenses" ref="A1:J181" totalsRowShown="0" headerRowDxfId="759">
  <autoFilter ref="A1:J181" xr:uid="{1B094870-060B-4535-95CC-F61F0B7D7849}"/>
  <tableColumns count="10">
    <tableColumn id="1" xr3:uid="{C10787BA-231F-4650-805D-A0B618412334}" name="Expense ID"/>
    <tableColumn id="2" xr3:uid="{18F17622-A8D8-44C3-8928-BE0D4346B544}" name="Date" dataDxfId="763"/>
    <tableColumn id="3" xr3:uid="{45BA2C99-E291-450D-858C-C69214E749E5}" name="Department"/>
    <tableColumn id="4" xr3:uid="{9B90C9AD-CB68-4657-8261-9586161E849C}" name="Category"/>
    <tableColumn id="5" xr3:uid="{0AB81B28-1891-428E-BC1E-DE04662E4AED}" name="Amount (INR)" dataDxfId="762"/>
    <tableColumn id="6" xr3:uid="{0B30E152-4ED9-48FF-AC40-E5C27B016AE6}" name="Payment Method"/>
    <tableColumn id="7" xr3:uid="{56B11A3B-3B1E-4784-9E68-CCCA00302F17}" name="Approved"/>
    <tableColumn id="8" xr3:uid="{F6063F1C-1DCC-4D23-A9E5-FDC2483FF735}" name="Budget Allocated" dataDxfId="761"/>
    <tableColumn id="9" xr3:uid="{8069B8A8-3177-4353-BCD9-11FBE44585BA}" name="Budget Remaining" dataDxfId="760"/>
    <tableColumn id="10" xr3:uid="{23AF7A6C-5186-4DF0-8F63-77C31EBFA317}" name="Month">
      <calculatedColumnFormula>TEXT(tblExpenses[[#This Row],[Date]],"mmm")</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C8229-8125-48E1-8F68-08B67FF83999}">
  <sheetPr codeName="Sheet4">
    <pageSetUpPr fitToPage="1"/>
  </sheetPr>
  <dimension ref="A1:AF29"/>
  <sheetViews>
    <sheetView showGridLines="0" tabSelected="1" zoomScale="70" zoomScaleNormal="70" workbookViewId="0"/>
  </sheetViews>
  <sheetFormatPr defaultRowHeight="13.8" x14ac:dyDescent="0.3"/>
  <cols>
    <col min="1" max="30" width="8.109375" style="12" customWidth="1"/>
    <col min="31" max="31" width="8.88671875" style="12"/>
    <col min="32" max="32" width="9.21875" style="12" hidden="1" customWidth="1"/>
    <col min="33" max="33" width="0" style="12" hidden="1" customWidth="1"/>
    <col min="34" max="16384" width="8.88671875" style="12"/>
  </cols>
  <sheetData>
    <row r="1" spans="1:32" ht="22.05" customHeight="1" x14ac:dyDescent="0.3">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row>
    <row r="2" spans="1:32" ht="22.05" customHeight="1" x14ac:dyDescent="0.3">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F2" s="13">
        <f>IFERROR(GETPIVOTDATA("Sum of Amount (INR)",Pivot!$M$3),0)</f>
        <v>1264100</v>
      </c>
    </row>
    <row r="3" spans="1:32" ht="22.05" customHeight="1" x14ac:dyDescent="0.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F3" s="13">
        <f>IFERROR(GETPIVOTDATA("Sum of Budget Allocated",Pivot!$M$3),0)</f>
        <v>27400000</v>
      </c>
    </row>
    <row r="4" spans="1:32" ht="18" customHeight="1" x14ac:dyDescent="0.3">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F4" s="13">
        <f>IFERROR(GETPIVOTDATA("Sum of Budget Remaining",Pivot!$M$3),0)</f>
        <v>2577300</v>
      </c>
    </row>
    <row r="5" spans="1:32" ht="18" customHeight="1" x14ac:dyDescent="0.3">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F5" s="14">
        <f>IFERROR(GETPIVOTDATA("Count of Expense ID",Pivot!$M$3),0)</f>
        <v>17</v>
      </c>
    </row>
    <row r="6" spans="1:32" ht="18" customHeight="1" x14ac:dyDescent="0.3">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F6" s="15">
        <f>IFERROR(GETPIVOTDATA("Count of Expense ID",Pivot!$J$3,"Approved","Yes")/AF5,0)</f>
        <v>0.76470588235294112</v>
      </c>
    </row>
    <row r="7" spans="1:32" ht="18" customHeight="1" x14ac:dyDescent="0.3">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F7" s="13">
        <f>IFERROR(AF2/AF5,0)</f>
        <v>74358.823529411762</v>
      </c>
    </row>
    <row r="8" spans="1:32" ht="18" customHeight="1" x14ac:dyDescent="0.3">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row>
    <row r="9" spans="1:32" ht="18" customHeight="1" x14ac:dyDescent="0.3">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row>
    <row r="10" spans="1:32" ht="18" customHeight="1"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1:32" ht="18" customHeight="1"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spans="1:32" ht="18" customHeight="1"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spans="1:32" ht="18" customHeight="1"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spans="1:32" ht="18" customHeight="1"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spans="1:32" ht="18" customHeight="1"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spans="1:32" ht="18" customHeight="1"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spans="1:30" ht="18" customHeight="1"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spans="1:30" ht="18" customHeight="1"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spans="1:30" ht="18" customHeight="1"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spans="1:30" ht="18" customHeight="1"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spans="1:30" ht="18" customHeight="1"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spans="1:30" ht="18" customHeight="1"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spans="1:30" ht="18" customHeight="1"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spans="1:30" ht="18" customHeight="1"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spans="1:30" ht="18" customHeight="1"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spans="1:30" ht="18" customHeight="1"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row>
    <row r="27" spans="1:30" ht="18" customHeight="1"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row>
    <row r="28" spans="1:30" ht="18" customHeight="1"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row>
    <row r="29" spans="1:30" ht="18" customHeight="1"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81"/>
  <sheetViews>
    <sheetView zoomScaleNormal="100" workbookViewId="0">
      <selection activeCell="K2" sqref="K2"/>
    </sheetView>
  </sheetViews>
  <sheetFormatPr defaultColWidth="8.6640625" defaultRowHeight="14.4" x14ac:dyDescent="0.3"/>
  <cols>
    <col min="1" max="1" width="15.6640625" bestFit="1" customWidth="1"/>
    <col min="2" max="2" width="11.88671875" bestFit="1" customWidth="1"/>
    <col min="3" max="3" width="16.88671875" bestFit="1" customWidth="1"/>
    <col min="4" max="4" width="18" customWidth="1"/>
    <col min="5" max="5" width="18.33203125" bestFit="1" customWidth="1"/>
    <col min="6" max="6" width="21.44140625" bestFit="1" customWidth="1"/>
    <col min="7" max="7" width="14.6640625" bestFit="1" customWidth="1"/>
    <col min="8" max="8" width="21.6640625" bestFit="1" customWidth="1"/>
    <col min="9" max="9" width="22.88671875" bestFit="1" customWidth="1"/>
    <col min="10" max="10" width="9" bestFit="1" customWidth="1"/>
  </cols>
  <sheetData>
    <row r="1" spans="1:10" s="5" customFormat="1" x14ac:dyDescent="0.3">
      <c r="A1" s="4" t="s">
        <v>0</v>
      </c>
      <c r="B1" s="4" t="s">
        <v>1</v>
      </c>
      <c r="C1" s="4" t="s">
        <v>2</v>
      </c>
      <c r="D1" s="4" t="s">
        <v>3</v>
      </c>
      <c r="E1" s="4" t="s">
        <v>4</v>
      </c>
      <c r="F1" s="4" t="s">
        <v>5</v>
      </c>
      <c r="G1" s="4" t="s">
        <v>6</v>
      </c>
      <c r="H1" s="4" t="s">
        <v>7</v>
      </c>
      <c r="I1" s="4" t="s">
        <v>8</v>
      </c>
      <c r="J1" s="5" t="s">
        <v>211</v>
      </c>
    </row>
    <row r="2" spans="1:10" x14ac:dyDescent="0.3">
      <c r="A2" t="s">
        <v>9</v>
      </c>
      <c r="B2" s="1">
        <v>45658</v>
      </c>
      <c r="C2" t="s">
        <v>10</v>
      </c>
      <c r="D2" t="s">
        <v>11</v>
      </c>
      <c r="E2" s="3">
        <v>77300</v>
      </c>
      <c r="F2" t="s">
        <v>12</v>
      </c>
      <c r="G2" t="s">
        <v>13</v>
      </c>
      <c r="H2" s="3">
        <v>2000000</v>
      </c>
      <c r="I2" s="3">
        <v>433000</v>
      </c>
      <c r="J2" t="str">
        <f>TEXT(tblExpenses[[#This Row],[Date]],"mmm")</f>
        <v>Jan</v>
      </c>
    </row>
    <row r="3" spans="1:10" x14ac:dyDescent="0.3">
      <c r="A3" t="s">
        <v>14</v>
      </c>
      <c r="B3" s="1">
        <v>45660</v>
      </c>
      <c r="C3" t="s">
        <v>15</v>
      </c>
      <c r="D3" t="s">
        <v>16</v>
      </c>
      <c r="E3" s="3">
        <v>144300</v>
      </c>
      <c r="F3" t="s">
        <v>12</v>
      </c>
      <c r="G3" t="s">
        <v>13</v>
      </c>
      <c r="H3" s="3">
        <v>700000</v>
      </c>
      <c r="I3" s="3">
        <v>-742600</v>
      </c>
      <c r="J3" t="str">
        <f>TEXT(tblExpenses[[#This Row],[Date]],"mmm")</f>
        <v>Jan</v>
      </c>
    </row>
    <row r="4" spans="1:10" x14ac:dyDescent="0.3">
      <c r="A4" t="s">
        <v>17</v>
      </c>
      <c r="B4" s="1">
        <v>45661</v>
      </c>
      <c r="C4" t="s">
        <v>18</v>
      </c>
      <c r="D4" t="s">
        <v>19</v>
      </c>
      <c r="E4" s="3">
        <v>139800</v>
      </c>
      <c r="F4" t="s">
        <v>20</v>
      </c>
      <c r="G4" t="s">
        <v>13</v>
      </c>
      <c r="H4" s="3">
        <v>3000000</v>
      </c>
      <c r="I4" s="3">
        <v>1508700</v>
      </c>
      <c r="J4" t="str">
        <f>TEXT(tblExpenses[[#This Row],[Date]],"mmm")</f>
        <v>Jan</v>
      </c>
    </row>
    <row r="5" spans="1:10" x14ac:dyDescent="0.3">
      <c r="A5" t="s">
        <v>21</v>
      </c>
      <c r="B5" s="1">
        <v>45666</v>
      </c>
      <c r="C5" t="s">
        <v>22</v>
      </c>
      <c r="D5" t="s">
        <v>19</v>
      </c>
      <c r="E5" s="3">
        <v>42200</v>
      </c>
      <c r="F5" t="s">
        <v>12</v>
      </c>
      <c r="G5" t="s">
        <v>13</v>
      </c>
      <c r="H5" s="3">
        <v>2500000</v>
      </c>
      <c r="I5" s="3">
        <v>812000</v>
      </c>
      <c r="J5" t="str">
        <f>TEXT(tblExpenses[[#This Row],[Date]],"mmm")</f>
        <v>Jan</v>
      </c>
    </row>
    <row r="6" spans="1:10" x14ac:dyDescent="0.3">
      <c r="A6" t="s">
        <v>23</v>
      </c>
      <c r="B6" s="1">
        <v>45670</v>
      </c>
      <c r="C6" t="s">
        <v>24</v>
      </c>
      <c r="D6" t="s">
        <v>25</v>
      </c>
      <c r="E6" s="3">
        <v>145100</v>
      </c>
      <c r="F6" t="s">
        <v>20</v>
      </c>
      <c r="G6" t="s">
        <v>13</v>
      </c>
      <c r="H6" s="3">
        <v>1800000</v>
      </c>
      <c r="I6" s="3">
        <v>493400</v>
      </c>
      <c r="J6" t="str">
        <f>TEXT(tblExpenses[[#This Row],[Date]],"mmm")</f>
        <v>Jan</v>
      </c>
    </row>
    <row r="7" spans="1:10" x14ac:dyDescent="0.3">
      <c r="A7" t="s">
        <v>26</v>
      </c>
      <c r="B7" s="1">
        <v>45671</v>
      </c>
      <c r="C7" t="s">
        <v>22</v>
      </c>
      <c r="D7" t="s">
        <v>27</v>
      </c>
      <c r="E7" s="3">
        <v>26400</v>
      </c>
      <c r="F7" t="s">
        <v>20</v>
      </c>
      <c r="G7" t="s">
        <v>13</v>
      </c>
      <c r="H7" s="3">
        <v>2500000</v>
      </c>
      <c r="I7" s="3">
        <v>1225000</v>
      </c>
      <c r="J7" t="str">
        <f>TEXT(tblExpenses[[#This Row],[Date]],"mmm")</f>
        <v>Jan</v>
      </c>
    </row>
    <row r="8" spans="1:10" x14ac:dyDescent="0.3">
      <c r="A8" t="s">
        <v>28</v>
      </c>
      <c r="B8" s="1">
        <v>45672</v>
      </c>
      <c r="C8" t="s">
        <v>29</v>
      </c>
      <c r="D8" t="s">
        <v>25</v>
      </c>
      <c r="E8" s="3">
        <v>124200</v>
      </c>
      <c r="F8" t="s">
        <v>20</v>
      </c>
      <c r="G8" t="s">
        <v>13</v>
      </c>
      <c r="H8" s="3">
        <v>900000</v>
      </c>
      <c r="I8" s="3">
        <v>-401400</v>
      </c>
      <c r="J8" t="str">
        <f>TEXT(tblExpenses[[#This Row],[Date]],"mmm")</f>
        <v>Jan</v>
      </c>
    </row>
    <row r="9" spans="1:10" x14ac:dyDescent="0.3">
      <c r="A9" t="s">
        <v>30</v>
      </c>
      <c r="B9" s="1">
        <v>45674</v>
      </c>
      <c r="C9" t="s">
        <v>15</v>
      </c>
      <c r="D9" t="s">
        <v>25</v>
      </c>
      <c r="E9" s="3">
        <v>14500</v>
      </c>
      <c r="F9" t="s">
        <v>12</v>
      </c>
      <c r="G9" t="s">
        <v>13</v>
      </c>
      <c r="H9" s="3">
        <v>700000</v>
      </c>
      <c r="I9" s="3">
        <v>308700</v>
      </c>
      <c r="J9" t="str">
        <f>TEXT(tblExpenses[[#This Row],[Date]],"mmm")</f>
        <v>Jan</v>
      </c>
    </row>
    <row r="10" spans="1:10" x14ac:dyDescent="0.3">
      <c r="A10" t="s">
        <v>31</v>
      </c>
      <c r="B10" s="1">
        <v>45676</v>
      </c>
      <c r="C10" t="s">
        <v>24</v>
      </c>
      <c r="D10" t="s">
        <v>25</v>
      </c>
      <c r="E10" s="3">
        <v>161100</v>
      </c>
      <c r="F10" t="s">
        <v>20</v>
      </c>
      <c r="G10" t="s">
        <v>13</v>
      </c>
      <c r="H10" s="3">
        <v>1800000</v>
      </c>
      <c r="I10" s="3">
        <v>-570600</v>
      </c>
      <c r="J10" t="str">
        <f>TEXT(tblExpenses[[#This Row],[Date]],"mmm")</f>
        <v>Jan</v>
      </c>
    </row>
    <row r="11" spans="1:10" x14ac:dyDescent="0.3">
      <c r="A11" t="s">
        <v>32</v>
      </c>
      <c r="B11" s="1">
        <v>45676</v>
      </c>
      <c r="C11" t="s">
        <v>33</v>
      </c>
      <c r="D11" t="s">
        <v>16</v>
      </c>
      <c r="E11" s="3">
        <v>44600</v>
      </c>
      <c r="F11" t="s">
        <v>34</v>
      </c>
      <c r="G11" t="s">
        <v>35</v>
      </c>
      <c r="H11" s="3">
        <v>1200000</v>
      </c>
      <c r="I11" s="3">
        <v>-660900</v>
      </c>
      <c r="J11" t="str">
        <f>TEXT(tblExpenses[[#This Row],[Date]],"mmm")</f>
        <v>Jan</v>
      </c>
    </row>
    <row r="12" spans="1:10" x14ac:dyDescent="0.3">
      <c r="A12" t="s">
        <v>36</v>
      </c>
      <c r="B12" s="1">
        <v>45677</v>
      </c>
      <c r="C12" t="s">
        <v>15</v>
      </c>
      <c r="D12" t="s">
        <v>11</v>
      </c>
      <c r="E12" s="3">
        <v>42300</v>
      </c>
      <c r="F12" t="s">
        <v>20</v>
      </c>
      <c r="G12" t="s">
        <v>13</v>
      </c>
      <c r="H12" s="3">
        <v>700000</v>
      </c>
      <c r="I12" s="3">
        <v>-370300</v>
      </c>
      <c r="J12" t="str">
        <f>TEXT(tblExpenses[[#This Row],[Date]],"mmm")</f>
        <v>Jan</v>
      </c>
    </row>
    <row r="13" spans="1:10" x14ac:dyDescent="0.3">
      <c r="A13" t="s">
        <v>37</v>
      </c>
      <c r="B13" s="1">
        <v>45678</v>
      </c>
      <c r="C13" t="s">
        <v>18</v>
      </c>
      <c r="D13" t="s">
        <v>38</v>
      </c>
      <c r="E13" s="3">
        <v>126700</v>
      </c>
      <c r="F13" t="s">
        <v>39</v>
      </c>
      <c r="G13" t="s">
        <v>13</v>
      </c>
      <c r="H13" s="3">
        <v>3000000</v>
      </c>
      <c r="I13" s="3">
        <v>1973700</v>
      </c>
      <c r="J13" t="str">
        <f>TEXT(tblExpenses[[#This Row],[Date]],"mmm")</f>
        <v>Jan</v>
      </c>
    </row>
    <row r="14" spans="1:10" x14ac:dyDescent="0.3">
      <c r="A14" t="s">
        <v>40</v>
      </c>
      <c r="B14" s="1">
        <v>45680</v>
      </c>
      <c r="C14" t="s">
        <v>10</v>
      </c>
      <c r="D14" t="s">
        <v>27</v>
      </c>
      <c r="E14" s="3">
        <v>1800</v>
      </c>
      <c r="F14" t="s">
        <v>41</v>
      </c>
      <c r="G14" t="s">
        <v>13</v>
      </c>
      <c r="H14" s="3">
        <v>2000000</v>
      </c>
      <c r="I14" s="3">
        <v>1259000</v>
      </c>
      <c r="J14" t="str">
        <f>TEXT(tblExpenses[[#This Row],[Date]],"mmm")</f>
        <v>Jan</v>
      </c>
    </row>
    <row r="15" spans="1:10" x14ac:dyDescent="0.3">
      <c r="A15" t="s">
        <v>42</v>
      </c>
      <c r="B15" s="1">
        <v>45681</v>
      </c>
      <c r="C15" t="s">
        <v>22</v>
      </c>
      <c r="D15" t="s">
        <v>19</v>
      </c>
      <c r="E15" s="3">
        <v>129500</v>
      </c>
      <c r="F15" t="s">
        <v>12</v>
      </c>
      <c r="G15" t="s">
        <v>13</v>
      </c>
      <c r="H15" s="3">
        <v>2500000</v>
      </c>
      <c r="I15" s="3">
        <v>623100</v>
      </c>
      <c r="J15" t="str">
        <f>TEXT(tblExpenses[[#This Row],[Date]],"mmm")</f>
        <v>Jan</v>
      </c>
    </row>
    <row r="16" spans="1:10" x14ac:dyDescent="0.3">
      <c r="A16" t="s">
        <v>43</v>
      </c>
      <c r="B16" s="1">
        <v>45684</v>
      </c>
      <c r="C16" t="s">
        <v>22</v>
      </c>
      <c r="D16" t="s">
        <v>27</v>
      </c>
      <c r="E16" s="3">
        <v>153700</v>
      </c>
      <c r="F16" t="s">
        <v>39</v>
      </c>
      <c r="G16" t="s">
        <v>13</v>
      </c>
      <c r="H16" s="3">
        <v>2500000</v>
      </c>
      <c r="I16" s="3">
        <v>1362400</v>
      </c>
      <c r="J16" t="str">
        <f>TEXT(tblExpenses[[#This Row],[Date]],"mmm")</f>
        <v>Jan</v>
      </c>
    </row>
    <row r="17" spans="1:10" x14ac:dyDescent="0.3">
      <c r="A17" t="s">
        <v>44</v>
      </c>
      <c r="B17" s="1">
        <v>45685</v>
      </c>
      <c r="C17" t="s">
        <v>10</v>
      </c>
      <c r="D17" t="s">
        <v>16</v>
      </c>
      <c r="E17" s="3">
        <v>12600</v>
      </c>
      <c r="F17" t="s">
        <v>34</v>
      </c>
      <c r="G17" t="s">
        <v>13</v>
      </c>
      <c r="H17" s="3">
        <v>2000000</v>
      </c>
      <c r="I17" s="3">
        <v>1292000</v>
      </c>
      <c r="J17" t="str">
        <f>TEXT(tblExpenses[[#This Row],[Date]],"mmm")</f>
        <v>Jan</v>
      </c>
    </row>
    <row r="18" spans="1:10" x14ac:dyDescent="0.3">
      <c r="A18" t="s">
        <v>45</v>
      </c>
      <c r="B18" s="1">
        <v>45691</v>
      </c>
      <c r="C18" t="s">
        <v>29</v>
      </c>
      <c r="D18" t="s">
        <v>11</v>
      </c>
      <c r="E18" s="3">
        <v>15100</v>
      </c>
      <c r="F18" t="s">
        <v>39</v>
      </c>
      <c r="G18" t="s">
        <v>13</v>
      </c>
      <c r="H18" s="3">
        <v>900000</v>
      </c>
      <c r="I18" s="3">
        <v>-794600</v>
      </c>
      <c r="J18" t="str">
        <f>TEXT(tblExpenses[[#This Row],[Date]],"mmm")</f>
        <v>Feb</v>
      </c>
    </row>
    <row r="19" spans="1:10" x14ac:dyDescent="0.3">
      <c r="A19" t="s">
        <v>46</v>
      </c>
      <c r="B19" s="1">
        <v>45693</v>
      </c>
      <c r="C19" t="s">
        <v>33</v>
      </c>
      <c r="D19" t="s">
        <v>16</v>
      </c>
      <c r="E19" s="3">
        <v>125400</v>
      </c>
      <c r="F19" t="s">
        <v>12</v>
      </c>
      <c r="G19" t="s">
        <v>13</v>
      </c>
      <c r="H19" s="3">
        <v>1200000</v>
      </c>
      <c r="I19" s="3">
        <v>603100</v>
      </c>
      <c r="J19" t="str">
        <f>TEXT(tblExpenses[[#This Row],[Date]],"mmm")</f>
        <v>Feb</v>
      </c>
    </row>
    <row r="20" spans="1:10" x14ac:dyDescent="0.3">
      <c r="A20" t="s">
        <v>47</v>
      </c>
      <c r="B20" s="1">
        <v>45693</v>
      </c>
      <c r="C20" t="s">
        <v>24</v>
      </c>
      <c r="D20" t="s">
        <v>25</v>
      </c>
      <c r="E20" s="3">
        <v>53800</v>
      </c>
      <c r="F20" t="s">
        <v>20</v>
      </c>
      <c r="G20" t="s">
        <v>13</v>
      </c>
      <c r="H20" s="3">
        <v>1800000</v>
      </c>
      <c r="I20" s="3">
        <v>638500</v>
      </c>
      <c r="J20" t="str">
        <f>TEXT(tblExpenses[[#This Row],[Date]],"mmm")</f>
        <v>Feb</v>
      </c>
    </row>
    <row r="21" spans="1:10" x14ac:dyDescent="0.3">
      <c r="A21" t="s">
        <v>48</v>
      </c>
      <c r="B21" s="1">
        <v>45693</v>
      </c>
      <c r="C21" t="s">
        <v>15</v>
      </c>
      <c r="D21" t="s">
        <v>19</v>
      </c>
      <c r="E21" s="3">
        <v>65900</v>
      </c>
      <c r="F21" t="s">
        <v>41</v>
      </c>
      <c r="G21" t="s">
        <v>13</v>
      </c>
      <c r="H21" s="3">
        <v>700000</v>
      </c>
      <c r="I21" s="3">
        <v>-436200</v>
      </c>
      <c r="J21" t="str">
        <f>TEXT(tblExpenses[[#This Row],[Date]],"mmm")</f>
        <v>Feb</v>
      </c>
    </row>
    <row r="22" spans="1:10" x14ac:dyDescent="0.3">
      <c r="A22" t="s">
        <v>49</v>
      </c>
      <c r="B22" s="1">
        <v>45695</v>
      </c>
      <c r="C22" t="s">
        <v>22</v>
      </c>
      <c r="D22" t="s">
        <v>11</v>
      </c>
      <c r="E22" s="3">
        <v>115500</v>
      </c>
      <c r="F22" t="s">
        <v>41</v>
      </c>
      <c r="G22" t="s">
        <v>35</v>
      </c>
      <c r="H22" s="3">
        <v>2500000</v>
      </c>
      <c r="I22" s="3">
        <v>1566100</v>
      </c>
      <c r="J22" t="str">
        <f>TEXT(tblExpenses[[#This Row],[Date]],"mmm")</f>
        <v>Feb</v>
      </c>
    </row>
    <row r="23" spans="1:10" x14ac:dyDescent="0.3">
      <c r="A23" t="s">
        <v>50</v>
      </c>
      <c r="B23" s="1">
        <v>45695</v>
      </c>
      <c r="C23" t="s">
        <v>33</v>
      </c>
      <c r="D23" t="s">
        <v>38</v>
      </c>
      <c r="E23" s="3">
        <v>94300</v>
      </c>
      <c r="F23" t="s">
        <v>12</v>
      </c>
      <c r="G23" t="s">
        <v>35</v>
      </c>
      <c r="H23" s="3">
        <v>1200000</v>
      </c>
      <c r="I23" s="3">
        <v>335800</v>
      </c>
      <c r="J23" t="str">
        <f>TEXT(tblExpenses[[#This Row],[Date]],"mmm")</f>
        <v>Feb</v>
      </c>
    </row>
    <row r="24" spans="1:10" x14ac:dyDescent="0.3">
      <c r="A24" t="s">
        <v>51</v>
      </c>
      <c r="B24" s="1">
        <v>45701</v>
      </c>
      <c r="C24" t="s">
        <v>10</v>
      </c>
      <c r="D24" t="s">
        <v>11</v>
      </c>
      <c r="E24" s="3">
        <v>151200</v>
      </c>
      <c r="F24" t="s">
        <v>41</v>
      </c>
      <c r="G24" t="s">
        <v>13</v>
      </c>
      <c r="H24" s="3">
        <v>2000000</v>
      </c>
      <c r="I24" s="3">
        <v>1561700</v>
      </c>
      <c r="J24" t="str">
        <f>TEXT(tblExpenses[[#This Row],[Date]],"mmm")</f>
        <v>Feb</v>
      </c>
    </row>
    <row r="25" spans="1:10" x14ac:dyDescent="0.3">
      <c r="A25" t="s">
        <v>52</v>
      </c>
      <c r="B25" s="1">
        <v>45702</v>
      </c>
      <c r="C25" t="s">
        <v>18</v>
      </c>
      <c r="D25" t="s">
        <v>11</v>
      </c>
      <c r="E25" s="3">
        <v>46200</v>
      </c>
      <c r="F25" t="s">
        <v>20</v>
      </c>
      <c r="G25" t="s">
        <v>13</v>
      </c>
      <c r="H25" s="3">
        <v>3000000</v>
      </c>
      <c r="I25" s="3">
        <v>1414700</v>
      </c>
      <c r="J25" t="str">
        <f>TEXT(tblExpenses[[#This Row],[Date]],"mmm")</f>
        <v>Feb</v>
      </c>
    </row>
    <row r="26" spans="1:10" x14ac:dyDescent="0.3">
      <c r="A26" t="s">
        <v>53</v>
      </c>
      <c r="B26" s="1">
        <v>45703</v>
      </c>
      <c r="C26" t="s">
        <v>18</v>
      </c>
      <c r="D26" t="s">
        <v>19</v>
      </c>
      <c r="E26" s="3">
        <v>60800</v>
      </c>
      <c r="F26" t="s">
        <v>20</v>
      </c>
      <c r="G26" t="s">
        <v>35</v>
      </c>
      <c r="H26" s="3">
        <v>3000000</v>
      </c>
      <c r="I26" s="3">
        <v>490600</v>
      </c>
      <c r="J26" t="str">
        <f>TEXT(tblExpenses[[#This Row],[Date]],"mmm")</f>
        <v>Feb</v>
      </c>
    </row>
    <row r="27" spans="1:10" x14ac:dyDescent="0.3">
      <c r="A27" t="s">
        <v>54</v>
      </c>
      <c r="B27" s="1">
        <v>45704</v>
      </c>
      <c r="C27" t="s">
        <v>15</v>
      </c>
      <c r="D27" t="s">
        <v>55</v>
      </c>
      <c r="E27" s="3">
        <v>159500</v>
      </c>
      <c r="F27" t="s">
        <v>12</v>
      </c>
      <c r="G27" t="s">
        <v>13</v>
      </c>
      <c r="H27" s="3">
        <v>700000</v>
      </c>
      <c r="I27" s="3">
        <v>465700</v>
      </c>
      <c r="J27" t="str">
        <f>TEXT(tblExpenses[[#This Row],[Date]],"mmm")</f>
        <v>Feb</v>
      </c>
    </row>
    <row r="28" spans="1:10" x14ac:dyDescent="0.3">
      <c r="A28" t="s">
        <v>56</v>
      </c>
      <c r="B28" s="1">
        <v>45704</v>
      </c>
      <c r="C28" t="s">
        <v>24</v>
      </c>
      <c r="D28" t="s">
        <v>55</v>
      </c>
      <c r="E28" s="3">
        <v>184900</v>
      </c>
      <c r="F28" t="s">
        <v>34</v>
      </c>
      <c r="G28" t="s">
        <v>13</v>
      </c>
      <c r="H28" s="3">
        <v>1800000</v>
      </c>
      <c r="I28" s="3">
        <v>-283200</v>
      </c>
      <c r="J28" t="str">
        <f>TEXT(tblExpenses[[#This Row],[Date]],"mmm")</f>
        <v>Feb</v>
      </c>
    </row>
    <row r="29" spans="1:10" x14ac:dyDescent="0.3">
      <c r="A29" t="s">
        <v>57</v>
      </c>
      <c r="B29" s="1">
        <v>45704</v>
      </c>
      <c r="C29" t="s">
        <v>29</v>
      </c>
      <c r="D29" t="s">
        <v>16</v>
      </c>
      <c r="E29" s="3">
        <v>141000</v>
      </c>
      <c r="F29" t="s">
        <v>39</v>
      </c>
      <c r="G29" t="s">
        <v>13</v>
      </c>
      <c r="H29" s="3">
        <v>900000</v>
      </c>
      <c r="I29" s="3">
        <v>-1709800</v>
      </c>
      <c r="J29" t="str">
        <f>TEXT(tblExpenses[[#This Row],[Date]],"mmm")</f>
        <v>Feb</v>
      </c>
    </row>
    <row r="30" spans="1:10" x14ac:dyDescent="0.3">
      <c r="A30" t="s">
        <v>58</v>
      </c>
      <c r="B30" s="1">
        <v>45705</v>
      </c>
      <c r="C30" t="s">
        <v>15</v>
      </c>
      <c r="D30" t="s">
        <v>38</v>
      </c>
      <c r="E30" s="3">
        <v>32000</v>
      </c>
      <c r="F30" t="s">
        <v>20</v>
      </c>
      <c r="G30" t="s">
        <v>13</v>
      </c>
      <c r="H30" s="3">
        <v>700000</v>
      </c>
      <c r="I30" s="3">
        <v>127000</v>
      </c>
      <c r="J30" t="str">
        <f>TEXT(tblExpenses[[#This Row],[Date]],"mmm")</f>
        <v>Feb</v>
      </c>
    </row>
    <row r="31" spans="1:10" x14ac:dyDescent="0.3">
      <c r="A31" t="s">
        <v>59</v>
      </c>
      <c r="B31" s="1">
        <v>45708</v>
      </c>
      <c r="C31" t="s">
        <v>15</v>
      </c>
      <c r="D31" t="s">
        <v>38</v>
      </c>
      <c r="E31" s="3">
        <v>116300</v>
      </c>
      <c r="F31" t="s">
        <v>34</v>
      </c>
      <c r="G31" t="s">
        <v>13</v>
      </c>
      <c r="H31" s="3">
        <v>700000</v>
      </c>
      <c r="I31" s="3">
        <v>-1619700</v>
      </c>
      <c r="J31" t="str">
        <f>TEXT(tblExpenses[[#This Row],[Date]],"mmm")</f>
        <v>Feb</v>
      </c>
    </row>
    <row r="32" spans="1:10" x14ac:dyDescent="0.3">
      <c r="A32" t="s">
        <v>60</v>
      </c>
      <c r="B32" s="1">
        <v>45710</v>
      </c>
      <c r="C32" t="s">
        <v>10</v>
      </c>
      <c r="D32" t="s">
        <v>16</v>
      </c>
      <c r="E32" s="3">
        <v>109900</v>
      </c>
      <c r="F32" t="s">
        <v>39</v>
      </c>
      <c r="G32" t="s">
        <v>13</v>
      </c>
      <c r="H32" s="3">
        <v>2000000</v>
      </c>
      <c r="I32" s="3">
        <v>1890100</v>
      </c>
      <c r="J32" t="str">
        <f>TEXT(tblExpenses[[#This Row],[Date]],"mmm")</f>
        <v>Feb</v>
      </c>
    </row>
    <row r="33" spans="1:10" x14ac:dyDescent="0.3">
      <c r="A33" t="s">
        <v>61</v>
      </c>
      <c r="B33" s="1">
        <v>45712</v>
      </c>
      <c r="C33" t="s">
        <v>24</v>
      </c>
      <c r="D33" t="s">
        <v>27</v>
      </c>
      <c r="E33" s="3">
        <v>106400</v>
      </c>
      <c r="F33" t="s">
        <v>41</v>
      </c>
      <c r="G33" t="s">
        <v>13</v>
      </c>
      <c r="H33" s="3">
        <v>1800000</v>
      </c>
      <c r="I33" s="3">
        <v>-693000</v>
      </c>
      <c r="J33" t="str">
        <f>TEXT(tblExpenses[[#This Row],[Date]],"mmm")</f>
        <v>Feb</v>
      </c>
    </row>
    <row r="34" spans="1:10" x14ac:dyDescent="0.3">
      <c r="A34" t="s">
        <v>62</v>
      </c>
      <c r="B34" s="1">
        <v>45713</v>
      </c>
      <c r="C34" t="s">
        <v>24</v>
      </c>
      <c r="D34" t="s">
        <v>38</v>
      </c>
      <c r="E34" s="3">
        <v>36400</v>
      </c>
      <c r="F34" t="s">
        <v>20</v>
      </c>
      <c r="G34" t="s">
        <v>13</v>
      </c>
      <c r="H34" s="3">
        <v>1800000</v>
      </c>
      <c r="I34" s="3">
        <v>1115300</v>
      </c>
      <c r="J34" t="str">
        <f>TEXT(tblExpenses[[#This Row],[Date]],"mmm")</f>
        <v>Feb</v>
      </c>
    </row>
    <row r="35" spans="1:10" x14ac:dyDescent="0.3">
      <c r="A35" t="s">
        <v>63</v>
      </c>
      <c r="B35" s="1">
        <v>45716</v>
      </c>
      <c r="C35" t="s">
        <v>15</v>
      </c>
      <c r="D35" t="s">
        <v>64</v>
      </c>
      <c r="E35" s="3">
        <v>178500</v>
      </c>
      <c r="F35" t="s">
        <v>39</v>
      </c>
      <c r="G35" t="s">
        <v>13</v>
      </c>
      <c r="H35" s="3">
        <v>700000</v>
      </c>
      <c r="I35" s="3">
        <v>-1154200</v>
      </c>
      <c r="J35" t="str">
        <f>TEXT(tblExpenses[[#This Row],[Date]],"mmm")</f>
        <v>Feb</v>
      </c>
    </row>
    <row r="36" spans="1:10" x14ac:dyDescent="0.3">
      <c r="A36" t="s">
        <v>65</v>
      </c>
      <c r="B36" s="1">
        <v>45718</v>
      </c>
      <c r="C36" t="s">
        <v>10</v>
      </c>
      <c r="D36" t="s">
        <v>64</v>
      </c>
      <c r="E36" s="3">
        <v>93000</v>
      </c>
      <c r="F36" t="s">
        <v>34</v>
      </c>
      <c r="G36" t="s">
        <v>13</v>
      </c>
      <c r="H36" s="3">
        <v>2000000</v>
      </c>
      <c r="I36" s="3">
        <v>340000</v>
      </c>
      <c r="J36" t="str">
        <f>TEXT(tblExpenses[[#This Row],[Date]],"mmm")</f>
        <v>Mar</v>
      </c>
    </row>
    <row r="37" spans="1:10" x14ac:dyDescent="0.3">
      <c r="A37" t="s">
        <v>66</v>
      </c>
      <c r="B37" s="1">
        <v>45720</v>
      </c>
      <c r="C37" t="s">
        <v>29</v>
      </c>
      <c r="D37" t="s">
        <v>64</v>
      </c>
      <c r="E37" s="3">
        <v>148600</v>
      </c>
      <c r="F37" t="s">
        <v>41</v>
      </c>
      <c r="G37" t="s">
        <v>35</v>
      </c>
      <c r="H37" s="3">
        <v>900000</v>
      </c>
      <c r="I37" s="3">
        <v>-99700</v>
      </c>
      <c r="J37" t="str">
        <f>TEXT(tblExpenses[[#This Row],[Date]],"mmm")</f>
        <v>Mar</v>
      </c>
    </row>
    <row r="38" spans="1:10" x14ac:dyDescent="0.3">
      <c r="A38" t="s">
        <v>67</v>
      </c>
      <c r="B38" s="1">
        <v>45723</v>
      </c>
      <c r="C38" t="s">
        <v>10</v>
      </c>
      <c r="D38" t="s">
        <v>11</v>
      </c>
      <c r="E38" s="3">
        <v>175200</v>
      </c>
      <c r="F38" t="s">
        <v>12</v>
      </c>
      <c r="G38" t="s">
        <v>13</v>
      </c>
      <c r="H38" s="3">
        <v>2000000</v>
      </c>
      <c r="I38" s="3">
        <v>1386500</v>
      </c>
      <c r="J38" t="str">
        <f>TEXT(tblExpenses[[#This Row],[Date]],"mmm")</f>
        <v>Mar</v>
      </c>
    </row>
    <row r="39" spans="1:10" x14ac:dyDescent="0.3">
      <c r="A39" t="s">
        <v>68</v>
      </c>
      <c r="B39" s="1">
        <v>45724</v>
      </c>
      <c r="C39" t="s">
        <v>10</v>
      </c>
      <c r="D39" t="s">
        <v>19</v>
      </c>
      <c r="E39" s="3">
        <v>31200</v>
      </c>
      <c r="F39" t="s">
        <v>20</v>
      </c>
      <c r="G39" t="s">
        <v>13</v>
      </c>
      <c r="H39" s="3">
        <v>2000000</v>
      </c>
      <c r="I39" s="3">
        <v>1260800</v>
      </c>
      <c r="J39" t="str">
        <f>TEXT(tblExpenses[[#This Row],[Date]],"mmm")</f>
        <v>Mar</v>
      </c>
    </row>
    <row r="40" spans="1:10" x14ac:dyDescent="0.3">
      <c r="A40" t="s">
        <v>69</v>
      </c>
      <c r="B40" s="1">
        <v>45727</v>
      </c>
      <c r="C40" t="s">
        <v>15</v>
      </c>
      <c r="D40" t="s">
        <v>16</v>
      </c>
      <c r="E40" s="3">
        <v>52200</v>
      </c>
      <c r="F40" t="s">
        <v>20</v>
      </c>
      <c r="G40" t="s">
        <v>13</v>
      </c>
      <c r="H40" s="3">
        <v>700000</v>
      </c>
      <c r="I40" s="3">
        <v>-1788200</v>
      </c>
      <c r="J40" t="str">
        <f>TEXT(tblExpenses[[#This Row],[Date]],"mmm")</f>
        <v>Mar</v>
      </c>
    </row>
    <row r="41" spans="1:10" x14ac:dyDescent="0.3">
      <c r="A41" t="s">
        <v>70</v>
      </c>
      <c r="B41" s="1">
        <v>45729</v>
      </c>
      <c r="C41" t="s">
        <v>24</v>
      </c>
      <c r="D41" t="s">
        <v>19</v>
      </c>
      <c r="E41" s="3">
        <v>138600</v>
      </c>
      <c r="F41" t="s">
        <v>20</v>
      </c>
      <c r="G41" t="s">
        <v>35</v>
      </c>
      <c r="H41" s="3">
        <v>1800000</v>
      </c>
      <c r="I41" s="3">
        <v>1411700</v>
      </c>
      <c r="J41" t="str">
        <f>TEXT(tblExpenses[[#This Row],[Date]],"mmm")</f>
        <v>Mar</v>
      </c>
    </row>
    <row r="42" spans="1:10" x14ac:dyDescent="0.3">
      <c r="A42" t="s">
        <v>71</v>
      </c>
      <c r="B42" s="1">
        <v>45732</v>
      </c>
      <c r="C42" t="s">
        <v>29</v>
      </c>
      <c r="D42" t="s">
        <v>38</v>
      </c>
      <c r="E42" s="3">
        <v>170700</v>
      </c>
      <c r="F42" t="s">
        <v>41</v>
      </c>
      <c r="G42" t="s">
        <v>13</v>
      </c>
      <c r="H42" s="3">
        <v>900000</v>
      </c>
      <c r="I42" s="3">
        <v>-1452300</v>
      </c>
      <c r="J42" t="str">
        <f>TEXT(tblExpenses[[#This Row],[Date]],"mmm")</f>
        <v>Mar</v>
      </c>
    </row>
    <row r="43" spans="1:10" x14ac:dyDescent="0.3">
      <c r="A43" t="s">
        <v>72</v>
      </c>
      <c r="B43" s="1">
        <v>45734</v>
      </c>
      <c r="C43" t="s">
        <v>18</v>
      </c>
      <c r="D43" t="s">
        <v>64</v>
      </c>
      <c r="E43" s="3">
        <v>14600</v>
      </c>
      <c r="F43" t="s">
        <v>12</v>
      </c>
      <c r="G43" t="s">
        <v>13</v>
      </c>
      <c r="H43" s="3">
        <v>3000000</v>
      </c>
      <c r="I43" s="3">
        <v>861100</v>
      </c>
      <c r="J43" t="str">
        <f>TEXT(tblExpenses[[#This Row],[Date]],"mmm")</f>
        <v>Mar</v>
      </c>
    </row>
    <row r="44" spans="1:10" x14ac:dyDescent="0.3">
      <c r="A44" t="s">
        <v>73</v>
      </c>
      <c r="B44" s="1">
        <v>45736</v>
      </c>
      <c r="C44" t="s">
        <v>10</v>
      </c>
      <c r="D44" t="s">
        <v>38</v>
      </c>
      <c r="E44" s="3">
        <v>13300</v>
      </c>
      <c r="F44" t="s">
        <v>20</v>
      </c>
      <c r="G44" t="s">
        <v>13</v>
      </c>
      <c r="H44" s="3">
        <v>2000000</v>
      </c>
      <c r="I44" s="3">
        <v>1245700</v>
      </c>
      <c r="J44" t="str">
        <f>TEXT(tblExpenses[[#This Row],[Date]],"mmm")</f>
        <v>Mar</v>
      </c>
    </row>
    <row r="45" spans="1:10" x14ac:dyDescent="0.3">
      <c r="A45" t="s">
        <v>74</v>
      </c>
      <c r="B45" s="1">
        <v>45737</v>
      </c>
      <c r="C45" t="s">
        <v>18</v>
      </c>
      <c r="D45" t="s">
        <v>19</v>
      </c>
      <c r="E45" s="3">
        <v>112500</v>
      </c>
      <c r="F45" t="s">
        <v>34</v>
      </c>
      <c r="G45" t="s">
        <v>13</v>
      </c>
      <c r="H45" s="3">
        <v>3000000</v>
      </c>
      <c r="I45" s="3">
        <v>2100400</v>
      </c>
      <c r="J45" t="str">
        <f>TEXT(tblExpenses[[#This Row],[Date]],"mmm")</f>
        <v>Mar</v>
      </c>
    </row>
    <row r="46" spans="1:10" x14ac:dyDescent="0.3">
      <c r="A46" t="s">
        <v>75</v>
      </c>
      <c r="B46" s="1">
        <v>45738</v>
      </c>
      <c r="C46" t="s">
        <v>24</v>
      </c>
      <c r="D46" t="s">
        <v>64</v>
      </c>
      <c r="E46" s="3">
        <v>102800</v>
      </c>
      <c r="F46" t="s">
        <v>12</v>
      </c>
      <c r="G46" t="s">
        <v>13</v>
      </c>
      <c r="H46" s="3">
        <v>1800000</v>
      </c>
      <c r="I46" s="3">
        <v>-98300</v>
      </c>
      <c r="J46" t="str">
        <f>TEXT(tblExpenses[[#This Row],[Date]],"mmm")</f>
        <v>Mar</v>
      </c>
    </row>
    <row r="47" spans="1:10" x14ac:dyDescent="0.3">
      <c r="A47" t="s">
        <v>76</v>
      </c>
      <c r="B47" s="1">
        <v>45739</v>
      </c>
      <c r="C47" t="s">
        <v>10</v>
      </c>
      <c r="D47" t="s">
        <v>27</v>
      </c>
      <c r="E47" s="3">
        <v>63900</v>
      </c>
      <c r="F47" t="s">
        <v>12</v>
      </c>
      <c r="G47" t="s">
        <v>13</v>
      </c>
      <c r="H47" s="3">
        <v>2000000</v>
      </c>
      <c r="I47" s="3">
        <v>1826200</v>
      </c>
      <c r="J47" t="str">
        <f>TEXT(tblExpenses[[#This Row],[Date]],"mmm")</f>
        <v>Mar</v>
      </c>
    </row>
    <row r="48" spans="1:10" x14ac:dyDescent="0.3">
      <c r="A48" t="s">
        <v>77</v>
      </c>
      <c r="B48" s="1">
        <v>45747</v>
      </c>
      <c r="C48" t="s">
        <v>29</v>
      </c>
      <c r="D48" t="s">
        <v>11</v>
      </c>
      <c r="E48" s="3">
        <v>169600</v>
      </c>
      <c r="F48" t="s">
        <v>12</v>
      </c>
      <c r="G48" t="s">
        <v>35</v>
      </c>
      <c r="H48" s="3">
        <v>900000</v>
      </c>
      <c r="I48" s="3">
        <v>-1057500</v>
      </c>
      <c r="J48" t="str">
        <f>TEXT(tblExpenses[[#This Row],[Date]],"mmm")</f>
        <v>Mar</v>
      </c>
    </row>
    <row r="49" spans="1:10" x14ac:dyDescent="0.3">
      <c r="A49" t="s">
        <v>78</v>
      </c>
      <c r="B49" s="1">
        <v>45749</v>
      </c>
      <c r="C49" t="s">
        <v>33</v>
      </c>
      <c r="D49" t="s">
        <v>16</v>
      </c>
      <c r="E49" s="3">
        <v>161200</v>
      </c>
      <c r="F49" t="s">
        <v>34</v>
      </c>
      <c r="G49" t="s">
        <v>13</v>
      </c>
      <c r="H49" s="3">
        <v>1200000</v>
      </c>
      <c r="I49" s="3">
        <v>758000</v>
      </c>
      <c r="J49" t="str">
        <f>TEXT(tblExpenses[[#This Row],[Date]],"mmm")</f>
        <v>Apr</v>
      </c>
    </row>
    <row r="50" spans="1:10" x14ac:dyDescent="0.3">
      <c r="A50" t="s">
        <v>79</v>
      </c>
      <c r="B50" s="1">
        <v>45750</v>
      </c>
      <c r="C50" t="s">
        <v>24</v>
      </c>
      <c r="D50" t="s">
        <v>64</v>
      </c>
      <c r="E50" s="3">
        <v>16000</v>
      </c>
      <c r="F50" t="s">
        <v>20</v>
      </c>
      <c r="G50" t="s">
        <v>13</v>
      </c>
      <c r="H50" s="3">
        <v>1800000</v>
      </c>
      <c r="I50" s="3">
        <v>-586600</v>
      </c>
      <c r="J50" t="str">
        <f>TEXT(tblExpenses[[#This Row],[Date]],"mmm")</f>
        <v>Apr</v>
      </c>
    </row>
    <row r="51" spans="1:10" x14ac:dyDescent="0.3">
      <c r="A51" t="s">
        <v>80</v>
      </c>
      <c r="B51" s="1">
        <v>45751</v>
      </c>
      <c r="C51" t="s">
        <v>18</v>
      </c>
      <c r="D51" t="s">
        <v>11</v>
      </c>
      <c r="E51" s="3">
        <v>47300</v>
      </c>
      <c r="F51" t="s">
        <v>39</v>
      </c>
      <c r="G51" t="s">
        <v>13</v>
      </c>
      <c r="H51" s="3">
        <v>3000000</v>
      </c>
      <c r="I51" s="3">
        <v>2466300</v>
      </c>
      <c r="J51" t="str">
        <f>TEXT(tblExpenses[[#This Row],[Date]],"mmm")</f>
        <v>Apr</v>
      </c>
    </row>
    <row r="52" spans="1:10" x14ac:dyDescent="0.3">
      <c r="A52" t="s">
        <v>81</v>
      </c>
      <c r="B52" s="1">
        <v>45756</v>
      </c>
      <c r="C52" t="s">
        <v>29</v>
      </c>
      <c r="D52" t="s">
        <v>27</v>
      </c>
      <c r="E52" s="3">
        <v>125800</v>
      </c>
      <c r="F52" t="s">
        <v>12</v>
      </c>
      <c r="G52" t="s">
        <v>13</v>
      </c>
      <c r="H52" s="3">
        <v>900000</v>
      </c>
      <c r="I52" s="3">
        <v>303400</v>
      </c>
      <c r="J52" t="str">
        <f>TEXT(tblExpenses[[#This Row],[Date]],"mmm")</f>
        <v>Apr</v>
      </c>
    </row>
    <row r="53" spans="1:10" x14ac:dyDescent="0.3">
      <c r="A53" t="s">
        <v>82</v>
      </c>
      <c r="B53" s="1">
        <v>45766</v>
      </c>
      <c r="C53" t="s">
        <v>18</v>
      </c>
      <c r="D53" t="s">
        <v>19</v>
      </c>
      <c r="E53" s="3">
        <v>64000</v>
      </c>
      <c r="F53" t="s">
        <v>41</v>
      </c>
      <c r="G53" t="s">
        <v>13</v>
      </c>
      <c r="H53" s="3">
        <v>3000000</v>
      </c>
      <c r="I53" s="3">
        <v>1350700</v>
      </c>
      <c r="J53" t="str">
        <f>TEXT(tblExpenses[[#This Row],[Date]],"mmm")</f>
        <v>Apr</v>
      </c>
    </row>
    <row r="54" spans="1:10" x14ac:dyDescent="0.3">
      <c r="A54" t="s">
        <v>83</v>
      </c>
      <c r="B54" s="1">
        <v>45769</v>
      </c>
      <c r="C54" t="s">
        <v>24</v>
      </c>
      <c r="D54" t="s">
        <v>55</v>
      </c>
      <c r="E54" s="3">
        <v>104500</v>
      </c>
      <c r="F54" t="s">
        <v>41</v>
      </c>
      <c r="G54" t="s">
        <v>13</v>
      </c>
      <c r="H54" s="3">
        <v>1800000</v>
      </c>
      <c r="I54" s="3">
        <v>1695500</v>
      </c>
      <c r="J54" t="str">
        <f>TEXT(tblExpenses[[#This Row],[Date]],"mmm")</f>
        <v>Apr</v>
      </c>
    </row>
    <row r="55" spans="1:10" x14ac:dyDescent="0.3">
      <c r="A55" t="s">
        <v>84</v>
      </c>
      <c r="B55" s="1">
        <v>45769</v>
      </c>
      <c r="C55" t="s">
        <v>29</v>
      </c>
      <c r="D55" t="s">
        <v>19</v>
      </c>
      <c r="E55" s="3">
        <v>142200</v>
      </c>
      <c r="F55" t="s">
        <v>12</v>
      </c>
      <c r="G55" t="s">
        <v>13</v>
      </c>
      <c r="H55" s="3">
        <v>900000</v>
      </c>
      <c r="I55" s="3">
        <v>-583900</v>
      </c>
      <c r="J55" t="str">
        <f>TEXT(tblExpenses[[#This Row],[Date]],"mmm")</f>
        <v>Apr</v>
      </c>
    </row>
    <row r="56" spans="1:10" x14ac:dyDescent="0.3">
      <c r="A56" t="s">
        <v>85</v>
      </c>
      <c r="B56" s="1">
        <v>45773</v>
      </c>
      <c r="C56" t="s">
        <v>15</v>
      </c>
      <c r="D56" t="s">
        <v>38</v>
      </c>
      <c r="E56" s="3">
        <v>28500</v>
      </c>
      <c r="F56" t="s">
        <v>39</v>
      </c>
      <c r="G56" t="s">
        <v>13</v>
      </c>
      <c r="H56" s="3">
        <v>700000</v>
      </c>
      <c r="I56" s="3">
        <v>-598300</v>
      </c>
      <c r="J56" t="str">
        <f>TEXT(tblExpenses[[#This Row],[Date]],"mmm")</f>
        <v>Apr</v>
      </c>
    </row>
    <row r="57" spans="1:10" x14ac:dyDescent="0.3">
      <c r="A57" t="s">
        <v>86</v>
      </c>
      <c r="B57" s="1">
        <v>45774</v>
      </c>
      <c r="C57" t="s">
        <v>24</v>
      </c>
      <c r="D57" t="s">
        <v>55</v>
      </c>
      <c r="E57" s="3">
        <v>122600</v>
      </c>
      <c r="F57" t="s">
        <v>20</v>
      </c>
      <c r="G57" t="s">
        <v>13</v>
      </c>
      <c r="H57" s="3">
        <v>1800000</v>
      </c>
      <c r="I57" s="3">
        <v>370800</v>
      </c>
      <c r="J57" t="str">
        <f>TEXT(tblExpenses[[#This Row],[Date]],"mmm")</f>
        <v>Apr</v>
      </c>
    </row>
    <row r="58" spans="1:10" x14ac:dyDescent="0.3">
      <c r="A58" t="s">
        <v>87</v>
      </c>
      <c r="B58" s="1">
        <v>45776</v>
      </c>
      <c r="C58" t="s">
        <v>22</v>
      </c>
      <c r="D58" t="s">
        <v>38</v>
      </c>
      <c r="E58" s="3">
        <v>59400</v>
      </c>
      <c r="F58" t="s">
        <v>41</v>
      </c>
      <c r="G58" t="s">
        <v>35</v>
      </c>
      <c r="H58" s="3">
        <v>2500000</v>
      </c>
      <c r="I58" s="3">
        <v>752600</v>
      </c>
      <c r="J58" t="str">
        <f>TEXT(tblExpenses[[#This Row],[Date]],"mmm")</f>
        <v>Apr</v>
      </c>
    </row>
    <row r="59" spans="1:10" x14ac:dyDescent="0.3">
      <c r="A59" t="s">
        <v>88</v>
      </c>
      <c r="B59" s="1">
        <v>45779</v>
      </c>
      <c r="C59" t="s">
        <v>15</v>
      </c>
      <c r="D59" t="s">
        <v>64</v>
      </c>
      <c r="E59" s="3">
        <v>180600</v>
      </c>
      <c r="F59" t="s">
        <v>12</v>
      </c>
      <c r="G59" t="s">
        <v>35</v>
      </c>
      <c r="H59" s="3">
        <v>700000</v>
      </c>
      <c r="I59" s="3">
        <v>-328000</v>
      </c>
      <c r="J59" t="str">
        <f>TEXT(tblExpenses[[#This Row],[Date]],"mmm")</f>
        <v>May</v>
      </c>
    </row>
    <row r="60" spans="1:10" x14ac:dyDescent="0.3">
      <c r="A60" t="s">
        <v>89</v>
      </c>
      <c r="B60" s="1">
        <v>45780</v>
      </c>
      <c r="C60" t="s">
        <v>18</v>
      </c>
      <c r="D60" t="s">
        <v>11</v>
      </c>
      <c r="E60" s="3">
        <v>15700</v>
      </c>
      <c r="F60" t="s">
        <v>34</v>
      </c>
      <c r="G60" t="s">
        <v>13</v>
      </c>
      <c r="H60" s="3">
        <v>3000000</v>
      </c>
      <c r="I60" s="3">
        <v>1675400</v>
      </c>
      <c r="J60" t="str">
        <f>TEXT(tblExpenses[[#This Row],[Date]],"mmm")</f>
        <v>May</v>
      </c>
    </row>
    <row r="61" spans="1:10" x14ac:dyDescent="0.3">
      <c r="A61" t="s">
        <v>90</v>
      </c>
      <c r="B61" s="1">
        <v>45781</v>
      </c>
      <c r="C61" t="s">
        <v>29</v>
      </c>
      <c r="D61" t="s">
        <v>64</v>
      </c>
      <c r="E61" s="3">
        <v>44100</v>
      </c>
      <c r="F61" t="s">
        <v>34</v>
      </c>
      <c r="G61" t="s">
        <v>13</v>
      </c>
      <c r="H61" s="3">
        <v>900000</v>
      </c>
      <c r="I61" s="3">
        <v>-1800200</v>
      </c>
      <c r="J61" t="str">
        <f>TEXT(tblExpenses[[#This Row],[Date]],"mmm")</f>
        <v>May</v>
      </c>
    </row>
    <row r="62" spans="1:10" x14ac:dyDescent="0.3">
      <c r="A62" t="s">
        <v>91</v>
      </c>
      <c r="B62" s="1">
        <v>45782</v>
      </c>
      <c r="C62" t="s">
        <v>15</v>
      </c>
      <c r="D62" t="s">
        <v>11</v>
      </c>
      <c r="E62" s="3">
        <v>149700</v>
      </c>
      <c r="F62" t="s">
        <v>12</v>
      </c>
      <c r="G62" t="s">
        <v>13</v>
      </c>
      <c r="H62" s="3">
        <v>700000</v>
      </c>
      <c r="I62" s="3">
        <v>159000</v>
      </c>
      <c r="J62" t="str">
        <f>TEXT(tblExpenses[[#This Row],[Date]],"mmm")</f>
        <v>May</v>
      </c>
    </row>
    <row r="63" spans="1:10" x14ac:dyDescent="0.3">
      <c r="A63" t="s">
        <v>92</v>
      </c>
      <c r="B63" s="1">
        <v>45783</v>
      </c>
      <c r="C63" t="s">
        <v>24</v>
      </c>
      <c r="D63" t="s">
        <v>11</v>
      </c>
      <c r="E63" s="3">
        <v>71100</v>
      </c>
      <c r="F63" t="s">
        <v>41</v>
      </c>
      <c r="G63" t="s">
        <v>13</v>
      </c>
      <c r="H63" s="3">
        <v>1800000</v>
      </c>
      <c r="I63" s="3">
        <v>1624400</v>
      </c>
      <c r="J63" t="str">
        <f>TEXT(tblExpenses[[#This Row],[Date]],"mmm")</f>
        <v>May</v>
      </c>
    </row>
    <row r="64" spans="1:10" x14ac:dyDescent="0.3">
      <c r="A64" t="s">
        <v>93</v>
      </c>
      <c r="B64" s="1">
        <v>45784</v>
      </c>
      <c r="C64" t="s">
        <v>24</v>
      </c>
      <c r="D64" t="s">
        <v>16</v>
      </c>
      <c r="E64" s="3">
        <v>63500</v>
      </c>
      <c r="F64" t="s">
        <v>41</v>
      </c>
      <c r="G64" t="s">
        <v>13</v>
      </c>
      <c r="H64" s="3">
        <v>1800000</v>
      </c>
      <c r="I64" s="3">
        <v>1300400</v>
      </c>
      <c r="J64" t="str">
        <f>TEXT(tblExpenses[[#This Row],[Date]],"mmm")</f>
        <v>May</v>
      </c>
    </row>
    <row r="65" spans="1:10" x14ac:dyDescent="0.3">
      <c r="A65" t="s">
        <v>94</v>
      </c>
      <c r="B65" s="1">
        <v>45784</v>
      </c>
      <c r="C65" t="s">
        <v>15</v>
      </c>
      <c r="D65" t="s">
        <v>19</v>
      </c>
      <c r="E65" s="3">
        <v>142000</v>
      </c>
      <c r="F65" t="s">
        <v>41</v>
      </c>
      <c r="G65" t="s">
        <v>13</v>
      </c>
      <c r="H65" s="3">
        <v>700000</v>
      </c>
      <c r="I65" s="3">
        <v>-884600</v>
      </c>
      <c r="J65" t="str">
        <f>TEXT(tblExpenses[[#This Row],[Date]],"mmm")</f>
        <v>May</v>
      </c>
    </row>
    <row r="66" spans="1:10" x14ac:dyDescent="0.3">
      <c r="A66" t="s">
        <v>95</v>
      </c>
      <c r="B66" s="1">
        <v>45785</v>
      </c>
      <c r="C66" t="s">
        <v>18</v>
      </c>
      <c r="D66" t="s">
        <v>64</v>
      </c>
      <c r="E66" s="3">
        <v>146000</v>
      </c>
      <c r="F66" t="s">
        <v>39</v>
      </c>
      <c r="G66" t="s">
        <v>13</v>
      </c>
      <c r="H66" s="3">
        <v>3000000</v>
      </c>
      <c r="I66" s="3">
        <v>1827700</v>
      </c>
      <c r="J66" t="str">
        <f>TEXT(tblExpenses[[#This Row],[Date]],"mmm")</f>
        <v>May</v>
      </c>
    </row>
    <row r="67" spans="1:10" x14ac:dyDescent="0.3">
      <c r="A67" t="s">
        <v>96</v>
      </c>
      <c r="B67" s="1">
        <v>45791</v>
      </c>
      <c r="C67" t="s">
        <v>29</v>
      </c>
      <c r="D67" t="s">
        <v>25</v>
      </c>
      <c r="E67" s="3">
        <v>40300</v>
      </c>
      <c r="F67" t="s">
        <v>34</v>
      </c>
      <c r="G67" t="s">
        <v>13</v>
      </c>
      <c r="H67" s="3">
        <v>900000</v>
      </c>
      <c r="I67" s="3">
        <v>-441700</v>
      </c>
      <c r="J67" t="str">
        <f>TEXT(tblExpenses[[#This Row],[Date]],"mmm")</f>
        <v>May</v>
      </c>
    </row>
    <row r="68" spans="1:10" x14ac:dyDescent="0.3">
      <c r="A68" t="s">
        <v>97</v>
      </c>
      <c r="B68" s="1">
        <v>45793</v>
      </c>
      <c r="C68" t="s">
        <v>22</v>
      </c>
      <c r="D68" t="s">
        <v>16</v>
      </c>
      <c r="E68" s="3">
        <v>111000</v>
      </c>
      <c r="F68" t="s">
        <v>34</v>
      </c>
      <c r="G68" t="s">
        <v>13</v>
      </c>
      <c r="H68" s="3">
        <v>2500000</v>
      </c>
      <c r="I68" s="3">
        <v>1251400</v>
      </c>
      <c r="J68" t="str">
        <f>TEXT(tblExpenses[[#This Row],[Date]],"mmm")</f>
        <v>May</v>
      </c>
    </row>
    <row r="69" spans="1:10" x14ac:dyDescent="0.3">
      <c r="A69" t="s">
        <v>98</v>
      </c>
      <c r="B69" s="1">
        <v>45793</v>
      </c>
      <c r="C69" t="s">
        <v>18</v>
      </c>
      <c r="D69" t="s">
        <v>27</v>
      </c>
      <c r="E69" s="3">
        <v>120700</v>
      </c>
      <c r="F69" t="s">
        <v>34</v>
      </c>
      <c r="G69" t="s">
        <v>35</v>
      </c>
      <c r="H69" s="3">
        <v>3000000</v>
      </c>
      <c r="I69" s="3">
        <v>231400</v>
      </c>
      <c r="J69" t="str">
        <f>TEXT(tblExpenses[[#This Row],[Date]],"mmm")</f>
        <v>May</v>
      </c>
    </row>
    <row r="70" spans="1:10" x14ac:dyDescent="0.3">
      <c r="A70" t="s">
        <v>99</v>
      </c>
      <c r="B70" s="1">
        <v>45794</v>
      </c>
      <c r="C70" t="s">
        <v>10</v>
      </c>
      <c r="D70" t="s">
        <v>16</v>
      </c>
      <c r="E70" s="3">
        <v>113300</v>
      </c>
      <c r="F70" t="s">
        <v>12</v>
      </c>
      <c r="G70" t="s">
        <v>13</v>
      </c>
      <c r="H70" s="3">
        <v>2000000</v>
      </c>
      <c r="I70" s="3">
        <v>1712900</v>
      </c>
      <c r="J70" t="str">
        <f>TEXT(tblExpenses[[#This Row],[Date]],"mmm")</f>
        <v>May</v>
      </c>
    </row>
    <row r="71" spans="1:10" x14ac:dyDescent="0.3">
      <c r="A71" t="s">
        <v>100</v>
      </c>
      <c r="B71" s="1">
        <v>45797</v>
      </c>
      <c r="C71" t="s">
        <v>29</v>
      </c>
      <c r="D71" t="s">
        <v>11</v>
      </c>
      <c r="E71" s="3">
        <v>181400</v>
      </c>
      <c r="F71" t="s">
        <v>12</v>
      </c>
      <c r="G71" t="s">
        <v>13</v>
      </c>
      <c r="H71" s="3">
        <v>900000</v>
      </c>
      <c r="I71" s="3">
        <v>-1281600</v>
      </c>
      <c r="J71" t="str">
        <f>TEXT(tblExpenses[[#This Row],[Date]],"mmm")</f>
        <v>May</v>
      </c>
    </row>
    <row r="72" spans="1:10" x14ac:dyDescent="0.3">
      <c r="A72" t="s">
        <v>101</v>
      </c>
      <c r="B72" s="1">
        <v>45799</v>
      </c>
      <c r="C72" t="s">
        <v>33</v>
      </c>
      <c r="D72" t="s">
        <v>55</v>
      </c>
      <c r="E72" s="3">
        <v>96300</v>
      </c>
      <c r="F72" t="s">
        <v>12</v>
      </c>
      <c r="G72" t="s">
        <v>13</v>
      </c>
      <c r="H72" s="3">
        <v>1200000</v>
      </c>
      <c r="I72" s="3">
        <v>-261300</v>
      </c>
      <c r="J72" t="str">
        <f>TEXT(tblExpenses[[#This Row],[Date]],"mmm")</f>
        <v>May</v>
      </c>
    </row>
    <row r="73" spans="1:10" x14ac:dyDescent="0.3">
      <c r="A73" t="s">
        <v>102</v>
      </c>
      <c r="B73" s="1">
        <v>45802</v>
      </c>
      <c r="C73" t="s">
        <v>10</v>
      </c>
      <c r="D73" t="s">
        <v>11</v>
      </c>
      <c r="E73" s="3">
        <v>14600</v>
      </c>
      <c r="F73" t="s">
        <v>12</v>
      </c>
      <c r="G73" t="s">
        <v>35</v>
      </c>
      <c r="H73" s="3">
        <v>2000000</v>
      </c>
      <c r="I73" s="3">
        <v>771700</v>
      </c>
      <c r="J73" t="str">
        <f>TEXT(tblExpenses[[#This Row],[Date]],"mmm")</f>
        <v>May</v>
      </c>
    </row>
    <row r="74" spans="1:10" x14ac:dyDescent="0.3">
      <c r="A74" t="s">
        <v>103</v>
      </c>
      <c r="B74" s="1">
        <v>45806</v>
      </c>
      <c r="C74" t="s">
        <v>22</v>
      </c>
      <c r="D74" t="s">
        <v>38</v>
      </c>
      <c r="E74" s="3">
        <v>160500</v>
      </c>
      <c r="F74" t="s">
        <v>20</v>
      </c>
      <c r="G74" t="s">
        <v>13</v>
      </c>
      <c r="H74" s="3">
        <v>2500000</v>
      </c>
      <c r="I74" s="3">
        <v>1977000</v>
      </c>
      <c r="J74" t="str">
        <f>TEXT(tblExpenses[[#This Row],[Date]],"mmm")</f>
        <v>May</v>
      </c>
    </row>
    <row r="75" spans="1:10" x14ac:dyDescent="0.3">
      <c r="A75" t="s">
        <v>104</v>
      </c>
      <c r="B75" s="1">
        <v>45812</v>
      </c>
      <c r="C75" t="s">
        <v>29</v>
      </c>
      <c r="D75" t="s">
        <v>55</v>
      </c>
      <c r="E75" s="3">
        <v>57300</v>
      </c>
      <c r="F75" t="s">
        <v>12</v>
      </c>
      <c r="G75" t="s">
        <v>13</v>
      </c>
      <c r="H75" s="3">
        <v>900000</v>
      </c>
      <c r="I75" s="3">
        <v>246100</v>
      </c>
      <c r="J75" t="str">
        <f>TEXT(tblExpenses[[#This Row],[Date]],"mmm")</f>
        <v>Jun</v>
      </c>
    </row>
    <row r="76" spans="1:10" x14ac:dyDescent="0.3">
      <c r="A76" t="s">
        <v>105</v>
      </c>
      <c r="B76" s="1">
        <v>45815</v>
      </c>
      <c r="C76" t="s">
        <v>24</v>
      </c>
      <c r="D76" t="s">
        <v>55</v>
      </c>
      <c r="E76" s="3">
        <v>45700</v>
      </c>
      <c r="F76" t="s">
        <v>41</v>
      </c>
      <c r="G76" t="s">
        <v>35</v>
      </c>
      <c r="H76" s="3">
        <v>1800000</v>
      </c>
      <c r="I76" s="3">
        <v>1363900</v>
      </c>
      <c r="J76" t="str">
        <f>TEXT(tblExpenses[[#This Row],[Date]],"mmm")</f>
        <v>Jun</v>
      </c>
    </row>
    <row r="77" spans="1:10" x14ac:dyDescent="0.3">
      <c r="A77" t="s">
        <v>106</v>
      </c>
      <c r="B77" s="1">
        <v>45817</v>
      </c>
      <c r="C77" t="s">
        <v>33</v>
      </c>
      <c r="D77" t="s">
        <v>27</v>
      </c>
      <c r="E77" s="3">
        <v>74300</v>
      </c>
      <c r="F77" t="s">
        <v>12</v>
      </c>
      <c r="G77" t="s">
        <v>13</v>
      </c>
      <c r="H77" s="3">
        <v>1200000</v>
      </c>
      <c r="I77" s="3">
        <v>-42100</v>
      </c>
      <c r="J77" t="str">
        <f>TEXT(tblExpenses[[#This Row],[Date]],"mmm")</f>
        <v>Jun</v>
      </c>
    </row>
    <row r="78" spans="1:10" x14ac:dyDescent="0.3">
      <c r="A78" t="s">
        <v>107</v>
      </c>
      <c r="B78" s="1">
        <v>45818</v>
      </c>
      <c r="C78" t="s">
        <v>24</v>
      </c>
      <c r="D78" t="s">
        <v>19</v>
      </c>
      <c r="E78" s="3">
        <v>74100</v>
      </c>
      <c r="F78" t="s">
        <v>34</v>
      </c>
      <c r="G78" t="s">
        <v>13</v>
      </c>
      <c r="H78" s="3">
        <v>1800000</v>
      </c>
      <c r="I78" s="3">
        <v>692300</v>
      </c>
      <c r="J78" t="str">
        <f>TEXT(tblExpenses[[#This Row],[Date]],"mmm")</f>
        <v>Jun</v>
      </c>
    </row>
    <row r="79" spans="1:10" x14ac:dyDescent="0.3">
      <c r="A79" t="s">
        <v>108</v>
      </c>
      <c r="B79" s="1">
        <v>45818</v>
      </c>
      <c r="C79" t="s">
        <v>29</v>
      </c>
      <c r="D79" t="s">
        <v>16</v>
      </c>
      <c r="E79" s="3">
        <v>72200</v>
      </c>
      <c r="F79" t="s">
        <v>41</v>
      </c>
      <c r="G79" t="s">
        <v>13</v>
      </c>
      <c r="H79" s="3">
        <v>900000</v>
      </c>
      <c r="I79" s="3">
        <v>504500</v>
      </c>
      <c r="J79" t="str">
        <f>TEXT(tblExpenses[[#This Row],[Date]],"mmm")</f>
        <v>Jun</v>
      </c>
    </row>
    <row r="80" spans="1:10" x14ac:dyDescent="0.3">
      <c r="A80" t="s">
        <v>109</v>
      </c>
      <c r="B80" s="1">
        <v>45819</v>
      </c>
      <c r="C80" t="s">
        <v>24</v>
      </c>
      <c r="D80" t="s">
        <v>11</v>
      </c>
      <c r="E80" s="3">
        <v>74100</v>
      </c>
      <c r="F80" t="s">
        <v>20</v>
      </c>
      <c r="G80" t="s">
        <v>13</v>
      </c>
      <c r="H80" s="3">
        <v>1800000</v>
      </c>
      <c r="I80" s="3">
        <v>1550300</v>
      </c>
      <c r="J80" t="str">
        <f>TEXT(tblExpenses[[#This Row],[Date]],"mmm")</f>
        <v>Jun</v>
      </c>
    </row>
    <row r="81" spans="1:10" x14ac:dyDescent="0.3">
      <c r="A81" t="s">
        <v>110</v>
      </c>
      <c r="B81" s="1">
        <v>45824</v>
      </c>
      <c r="C81" t="s">
        <v>15</v>
      </c>
      <c r="D81" t="s">
        <v>55</v>
      </c>
      <c r="E81" s="3">
        <v>43500</v>
      </c>
      <c r="F81" t="s">
        <v>39</v>
      </c>
      <c r="G81" t="s">
        <v>13</v>
      </c>
      <c r="H81" s="3">
        <v>700000</v>
      </c>
      <c r="I81" s="3">
        <v>625200</v>
      </c>
      <c r="J81" t="str">
        <f>TEXT(tblExpenses[[#This Row],[Date]],"mmm")</f>
        <v>Jun</v>
      </c>
    </row>
    <row r="82" spans="1:10" x14ac:dyDescent="0.3">
      <c r="A82" t="s">
        <v>111</v>
      </c>
      <c r="B82" s="1">
        <v>45828</v>
      </c>
      <c r="C82" t="s">
        <v>18</v>
      </c>
      <c r="D82" t="s">
        <v>16</v>
      </c>
      <c r="E82" s="3">
        <v>158900</v>
      </c>
      <c r="F82" t="s">
        <v>34</v>
      </c>
      <c r="G82" t="s">
        <v>13</v>
      </c>
      <c r="H82" s="3">
        <v>3000000</v>
      </c>
      <c r="I82" s="3">
        <v>702200</v>
      </c>
      <c r="J82" t="str">
        <f>TEXT(tblExpenses[[#This Row],[Date]],"mmm")</f>
        <v>Jun</v>
      </c>
    </row>
    <row r="83" spans="1:10" x14ac:dyDescent="0.3">
      <c r="A83" t="s">
        <v>112</v>
      </c>
      <c r="B83" s="1">
        <v>45829</v>
      </c>
      <c r="C83" t="s">
        <v>18</v>
      </c>
      <c r="D83" t="s">
        <v>16</v>
      </c>
      <c r="E83" s="3">
        <v>26900</v>
      </c>
      <c r="F83" t="s">
        <v>12</v>
      </c>
      <c r="G83" t="s">
        <v>13</v>
      </c>
      <c r="H83" s="3">
        <v>3000000</v>
      </c>
      <c r="I83" s="3">
        <v>1648500</v>
      </c>
      <c r="J83" t="str">
        <f>TEXT(tblExpenses[[#This Row],[Date]],"mmm")</f>
        <v>Jun</v>
      </c>
    </row>
    <row r="84" spans="1:10" x14ac:dyDescent="0.3">
      <c r="A84" t="s">
        <v>113</v>
      </c>
      <c r="B84" s="1">
        <v>45830</v>
      </c>
      <c r="C84" t="s">
        <v>22</v>
      </c>
      <c r="D84" t="s">
        <v>16</v>
      </c>
      <c r="E84" s="3">
        <v>71200</v>
      </c>
      <c r="F84" t="s">
        <v>34</v>
      </c>
      <c r="G84" t="s">
        <v>13</v>
      </c>
      <c r="H84" s="3">
        <v>2500000</v>
      </c>
      <c r="I84" s="3">
        <v>2291200</v>
      </c>
      <c r="J84" t="str">
        <f>TEXT(tblExpenses[[#This Row],[Date]],"mmm")</f>
        <v>Jun</v>
      </c>
    </row>
    <row r="85" spans="1:10" x14ac:dyDescent="0.3">
      <c r="A85" t="s">
        <v>114</v>
      </c>
      <c r="B85" s="1">
        <v>45832</v>
      </c>
      <c r="C85" t="s">
        <v>22</v>
      </c>
      <c r="D85" t="s">
        <v>27</v>
      </c>
      <c r="E85" s="3">
        <v>152400</v>
      </c>
      <c r="F85" t="s">
        <v>39</v>
      </c>
      <c r="G85" t="s">
        <v>13</v>
      </c>
      <c r="H85" s="3">
        <v>2500000</v>
      </c>
      <c r="I85" s="3">
        <v>854200</v>
      </c>
      <c r="J85" t="str">
        <f>TEXT(tblExpenses[[#This Row],[Date]],"mmm")</f>
        <v>Jun</v>
      </c>
    </row>
    <row r="86" spans="1:10" x14ac:dyDescent="0.3">
      <c r="A86" t="s">
        <v>115</v>
      </c>
      <c r="B86" s="1">
        <v>45832</v>
      </c>
      <c r="C86" t="s">
        <v>24</v>
      </c>
      <c r="D86" t="s">
        <v>55</v>
      </c>
      <c r="E86" s="3">
        <v>47800</v>
      </c>
      <c r="F86" t="s">
        <v>20</v>
      </c>
      <c r="G86" t="s">
        <v>13</v>
      </c>
      <c r="H86" s="3">
        <v>1800000</v>
      </c>
      <c r="I86" s="3">
        <v>4500</v>
      </c>
      <c r="J86" t="str">
        <f>TEXT(tblExpenses[[#This Row],[Date]],"mmm")</f>
        <v>Jun</v>
      </c>
    </row>
    <row r="87" spans="1:10" x14ac:dyDescent="0.3">
      <c r="A87" t="s">
        <v>116</v>
      </c>
      <c r="B87" s="1">
        <v>45834</v>
      </c>
      <c r="C87" t="s">
        <v>18</v>
      </c>
      <c r="D87" t="s">
        <v>27</v>
      </c>
      <c r="E87" s="3">
        <v>85100</v>
      </c>
      <c r="F87" t="s">
        <v>34</v>
      </c>
      <c r="G87" t="s">
        <v>35</v>
      </c>
      <c r="H87" s="3">
        <v>3000000</v>
      </c>
      <c r="I87" s="3">
        <v>352100</v>
      </c>
      <c r="J87" t="str">
        <f>TEXT(tblExpenses[[#This Row],[Date]],"mmm")</f>
        <v>Jun</v>
      </c>
    </row>
    <row r="88" spans="1:10" x14ac:dyDescent="0.3">
      <c r="A88" t="s">
        <v>117</v>
      </c>
      <c r="B88" s="1">
        <v>45835</v>
      </c>
      <c r="C88" t="s">
        <v>33</v>
      </c>
      <c r="D88" t="s">
        <v>27</v>
      </c>
      <c r="E88" s="3">
        <v>122900</v>
      </c>
      <c r="F88" t="s">
        <v>39</v>
      </c>
      <c r="G88" t="s">
        <v>13</v>
      </c>
      <c r="H88" s="3">
        <v>1200000</v>
      </c>
      <c r="I88" s="3">
        <v>-165000</v>
      </c>
      <c r="J88" t="str">
        <f>TEXT(tblExpenses[[#This Row],[Date]],"mmm")</f>
        <v>Jun</v>
      </c>
    </row>
    <row r="89" spans="1:10" x14ac:dyDescent="0.3">
      <c r="A89" t="s">
        <v>118</v>
      </c>
      <c r="B89" s="1">
        <v>45842</v>
      </c>
      <c r="C89" t="s">
        <v>24</v>
      </c>
      <c r="D89" t="s">
        <v>19</v>
      </c>
      <c r="E89" s="3">
        <v>4100</v>
      </c>
      <c r="F89" t="s">
        <v>41</v>
      </c>
      <c r="G89" t="s">
        <v>13</v>
      </c>
      <c r="H89" s="3">
        <v>1800000</v>
      </c>
      <c r="I89" s="3">
        <v>52300</v>
      </c>
      <c r="J89" t="str">
        <f>TEXT(tblExpenses[[#This Row],[Date]],"mmm")</f>
        <v>Jul</v>
      </c>
    </row>
    <row r="90" spans="1:10" x14ac:dyDescent="0.3">
      <c r="A90" t="s">
        <v>119</v>
      </c>
      <c r="B90" s="1">
        <v>45843</v>
      </c>
      <c r="C90" t="s">
        <v>33</v>
      </c>
      <c r="D90" t="s">
        <v>38</v>
      </c>
      <c r="E90" s="3">
        <v>130800</v>
      </c>
      <c r="F90" t="s">
        <v>39</v>
      </c>
      <c r="G90" t="s">
        <v>13</v>
      </c>
      <c r="H90" s="3">
        <v>1200000</v>
      </c>
      <c r="I90" s="3">
        <v>919200</v>
      </c>
      <c r="J90" t="str">
        <f>TEXT(tblExpenses[[#This Row],[Date]],"mmm")</f>
        <v>Jul</v>
      </c>
    </row>
    <row r="91" spans="1:10" x14ac:dyDescent="0.3">
      <c r="A91" t="s">
        <v>120</v>
      </c>
      <c r="B91" s="1">
        <v>45843</v>
      </c>
      <c r="C91" t="s">
        <v>10</v>
      </c>
      <c r="D91" t="s">
        <v>11</v>
      </c>
      <c r="E91" s="3">
        <v>131300</v>
      </c>
      <c r="F91" t="s">
        <v>20</v>
      </c>
      <c r="G91" t="s">
        <v>13</v>
      </c>
      <c r="H91" s="3">
        <v>2000000</v>
      </c>
      <c r="I91" s="3">
        <v>955700</v>
      </c>
      <c r="J91" t="str">
        <f>TEXT(tblExpenses[[#This Row],[Date]],"mmm")</f>
        <v>Jul</v>
      </c>
    </row>
    <row r="92" spans="1:10" x14ac:dyDescent="0.3">
      <c r="A92" t="s">
        <v>121</v>
      </c>
      <c r="B92" s="1">
        <v>45847</v>
      </c>
      <c r="C92" t="s">
        <v>33</v>
      </c>
      <c r="D92" t="s">
        <v>64</v>
      </c>
      <c r="E92" s="3">
        <v>80400</v>
      </c>
      <c r="F92" t="s">
        <v>39</v>
      </c>
      <c r="G92" t="s">
        <v>13</v>
      </c>
      <c r="H92" s="3">
        <v>1200000</v>
      </c>
      <c r="I92" s="3">
        <v>233400</v>
      </c>
      <c r="J92" t="str">
        <f>TEXT(tblExpenses[[#This Row],[Date]],"mmm")</f>
        <v>Jul</v>
      </c>
    </row>
    <row r="93" spans="1:10" x14ac:dyDescent="0.3">
      <c r="A93" t="s">
        <v>122</v>
      </c>
      <c r="B93" s="1">
        <v>45849</v>
      </c>
      <c r="C93" t="s">
        <v>29</v>
      </c>
      <c r="D93" t="s">
        <v>64</v>
      </c>
      <c r="E93" s="3">
        <v>46300</v>
      </c>
      <c r="F93" t="s">
        <v>20</v>
      </c>
      <c r="G93" t="s">
        <v>13</v>
      </c>
      <c r="H93" s="3">
        <v>900000</v>
      </c>
      <c r="I93" s="3">
        <v>-1756100</v>
      </c>
      <c r="J93" t="str">
        <f>TEXT(tblExpenses[[#This Row],[Date]],"mmm")</f>
        <v>Jul</v>
      </c>
    </row>
    <row r="94" spans="1:10" x14ac:dyDescent="0.3">
      <c r="A94" t="s">
        <v>123</v>
      </c>
      <c r="B94" s="1">
        <v>45851</v>
      </c>
      <c r="C94" t="s">
        <v>22</v>
      </c>
      <c r="D94" t="s">
        <v>19</v>
      </c>
      <c r="E94" s="3">
        <v>153700</v>
      </c>
      <c r="F94" t="s">
        <v>41</v>
      </c>
      <c r="G94" t="s">
        <v>35</v>
      </c>
      <c r="H94" s="3">
        <v>2500000</v>
      </c>
      <c r="I94" s="3">
        <v>2137500</v>
      </c>
      <c r="J94" t="str">
        <f>TEXT(tblExpenses[[#This Row],[Date]],"mmm")</f>
        <v>Jul</v>
      </c>
    </row>
    <row r="95" spans="1:10" x14ac:dyDescent="0.3">
      <c r="A95" t="s">
        <v>124</v>
      </c>
      <c r="B95" s="1">
        <v>45852</v>
      </c>
      <c r="C95" t="s">
        <v>18</v>
      </c>
      <c r="D95" t="s">
        <v>27</v>
      </c>
      <c r="E95" s="3">
        <v>47800</v>
      </c>
      <c r="F95" t="s">
        <v>39</v>
      </c>
      <c r="G95" t="s">
        <v>13</v>
      </c>
      <c r="H95" s="3">
        <v>3000000</v>
      </c>
      <c r="I95" s="3">
        <v>1460900</v>
      </c>
      <c r="J95" t="str">
        <f>TEXT(tblExpenses[[#This Row],[Date]],"mmm")</f>
        <v>Jul</v>
      </c>
    </row>
    <row r="96" spans="1:10" x14ac:dyDescent="0.3">
      <c r="A96" t="s">
        <v>125</v>
      </c>
      <c r="B96" s="1">
        <v>45862</v>
      </c>
      <c r="C96" t="s">
        <v>18</v>
      </c>
      <c r="D96" t="s">
        <v>38</v>
      </c>
      <c r="E96" s="3">
        <v>184500</v>
      </c>
      <c r="F96" t="s">
        <v>12</v>
      </c>
      <c r="G96" t="s">
        <v>13</v>
      </c>
      <c r="H96" s="3">
        <v>3000000</v>
      </c>
      <c r="I96" s="3">
        <v>2639900</v>
      </c>
      <c r="J96" t="str">
        <f>TEXT(tblExpenses[[#This Row],[Date]],"mmm")</f>
        <v>Jul</v>
      </c>
    </row>
    <row r="97" spans="1:10" x14ac:dyDescent="0.3">
      <c r="A97" t="s">
        <v>126</v>
      </c>
      <c r="B97" s="1">
        <v>45862</v>
      </c>
      <c r="C97" t="s">
        <v>10</v>
      </c>
      <c r="D97" t="s">
        <v>25</v>
      </c>
      <c r="E97" s="3">
        <v>81900</v>
      </c>
      <c r="F97" t="s">
        <v>41</v>
      </c>
      <c r="G97" t="s">
        <v>13</v>
      </c>
      <c r="H97" s="3">
        <v>2000000</v>
      </c>
      <c r="I97" s="3">
        <v>1304600</v>
      </c>
      <c r="J97" t="str">
        <f>TEXT(tblExpenses[[#This Row],[Date]],"mmm")</f>
        <v>Jul</v>
      </c>
    </row>
    <row r="98" spans="1:10" x14ac:dyDescent="0.3">
      <c r="A98" t="s">
        <v>127</v>
      </c>
      <c r="B98" s="1">
        <v>45863</v>
      </c>
      <c r="C98" t="s">
        <v>18</v>
      </c>
      <c r="D98" t="s">
        <v>16</v>
      </c>
      <c r="E98" s="3">
        <v>40200</v>
      </c>
      <c r="F98" t="s">
        <v>41</v>
      </c>
      <c r="G98" t="s">
        <v>35</v>
      </c>
      <c r="H98" s="3">
        <v>3000000</v>
      </c>
      <c r="I98" s="3">
        <v>2824400</v>
      </c>
      <c r="J98" t="str">
        <f>TEXT(tblExpenses[[#This Row],[Date]],"mmm")</f>
        <v>Jul</v>
      </c>
    </row>
    <row r="99" spans="1:10" x14ac:dyDescent="0.3">
      <c r="A99" t="s">
        <v>128</v>
      </c>
      <c r="B99" s="1">
        <v>45863</v>
      </c>
      <c r="C99" t="s">
        <v>22</v>
      </c>
      <c r="D99" t="s">
        <v>64</v>
      </c>
      <c r="E99" s="3">
        <v>71000</v>
      </c>
      <c r="F99" t="s">
        <v>20</v>
      </c>
      <c r="G99" t="s">
        <v>13</v>
      </c>
      <c r="H99" s="3">
        <v>2500000</v>
      </c>
      <c r="I99" s="3">
        <v>1693600</v>
      </c>
      <c r="J99" t="str">
        <f>TEXT(tblExpenses[[#This Row],[Date]],"mmm")</f>
        <v>Jul</v>
      </c>
    </row>
    <row r="100" spans="1:10" x14ac:dyDescent="0.3">
      <c r="A100" t="s">
        <v>129</v>
      </c>
      <c r="B100" s="1">
        <v>45866</v>
      </c>
      <c r="C100" t="s">
        <v>29</v>
      </c>
      <c r="D100" t="s">
        <v>38</v>
      </c>
      <c r="E100" s="3">
        <v>128200</v>
      </c>
      <c r="F100" t="s">
        <v>20</v>
      </c>
      <c r="G100" t="s">
        <v>13</v>
      </c>
      <c r="H100" s="3">
        <v>900000</v>
      </c>
      <c r="I100" s="3">
        <v>-779500</v>
      </c>
      <c r="J100" t="str">
        <f>TEXT(tblExpenses[[#This Row],[Date]],"mmm")</f>
        <v>Jul</v>
      </c>
    </row>
    <row r="101" spans="1:10" x14ac:dyDescent="0.3">
      <c r="A101" t="s">
        <v>130</v>
      </c>
      <c r="B101" s="1">
        <v>45871</v>
      </c>
      <c r="C101" t="s">
        <v>33</v>
      </c>
      <c r="D101" t="s">
        <v>38</v>
      </c>
      <c r="E101" s="3">
        <v>143800</v>
      </c>
      <c r="F101" t="s">
        <v>20</v>
      </c>
      <c r="G101" t="s">
        <v>13</v>
      </c>
      <c r="H101" s="3">
        <v>1200000</v>
      </c>
      <c r="I101" s="3">
        <v>-405100</v>
      </c>
      <c r="J101" t="str">
        <f>TEXT(tblExpenses[[#This Row],[Date]],"mmm")</f>
        <v>Aug</v>
      </c>
    </row>
    <row r="102" spans="1:10" x14ac:dyDescent="0.3">
      <c r="A102" t="s">
        <v>131</v>
      </c>
      <c r="B102" s="1">
        <v>45876</v>
      </c>
      <c r="C102" t="s">
        <v>33</v>
      </c>
      <c r="D102" t="s">
        <v>55</v>
      </c>
      <c r="E102" s="3">
        <v>22000</v>
      </c>
      <c r="F102" t="s">
        <v>12</v>
      </c>
      <c r="G102" t="s">
        <v>13</v>
      </c>
      <c r="H102" s="3">
        <v>1200000</v>
      </c>
      <c r="I102" s="3">
        <v>313800</v>
      </c>
      <c r="J102" t="str">
        <f>TEXT(tblExpenses[[#This Row],[Date]],"mmm")</f>
        <v>Aug</v>
      </c>
    </row>
    <row r="103" spans="1:10" x14ac:dyDescent="0.3">
      <c r="A103" t="s">
        <v>132</v>
      </c>
      <c r="B103" s="1">
        <v>45880</v>
      </c>
      <c r="C103" t="s">
        <v>24</v>
      </c>
      <c r="D103" t="s">
        <v>11</v>
      </c>
      <c r="E103" s="3">
        <v>2100</v>
      </c>
      <c r="F103" t="s">
        <v>34</v>
      </c>
      <c r="G103" t="s">
        <v>35</v>
      </c>
      <c r="H103" s="3">
        <v>1800000</v>
      </c>
      <c r="I103" s="3">
        <v>1409600</v>
      </c>
      <c r="J103" t="str">
        <f>TEXT(tblExpenses[[#This Row],[Date]],"mmm")</f>
        <v>Aug</v>
      </c>
    </row>
    <row r="104" spans="1:10" x14ac:dyDescent="0.3">
      <c r="A104" t="s">
        <v>133</v>
      </c>
      <c r="B104" s="1">
        <v>45881</v>
      </c>
      <c r="C104" t="s">
        <v>10</v>
      </c>
      <c r="D104" t="s">
        <v>11</v>
      </c>
      <c r="E104" s="3">
        <v>179300</v>
      </c>
      <c r="F104" t="s">
        <v>20</v>
      </c>
      <c r="G104" t="s">
        <v>13</v>
      </c>
      <c r="H104" s="3">
        <v>2000000</v>
      </c>
      <c r="I104" s="3">
        <v>510300</v>
      </c>
      <c r="J104" t="str">
        <f>TEXT(tblExpenses[[#This Row],[Date]],"mmm")</f>
        <v>Aug</v>
      </c>
    </row>
    <row r="105" spans="1:10" x14ac:dyDescent="0.3">
      <c r="A105" t="s">
        <v>134</v>
      </c>
      <c r="B105" s="1">
        <v>45884</v>
      </c>
      <c r="C105" t="s">
        <v>18</v>
      </c>
      <c r="D105" t="s">
        <v>27</v>
      </c>
      <c r="E105" s="3">
        <v>57500</v>
      </c>
      <c r="F105" t="s">
        <v>41</v>
      </c>
      <c r="G105" t="s">
        <v>13</v>
      </c>
      <c r="H105" s="3">
        <v>3000000</v>
      </c>
      <c r="I105" s="3">
        <v>875700</v>
      </c>
      <c r="J105" t="str">
        <f>TEXT(tblExpenses[[#This Row],[Date]],"mmm")</f>
        <v>Aug</v>
      </c>
    </row>
    <row r="106" spans="1:10" x14ac:dyDescent="0.3">
      <c r="A106" t="s">
        <v>135</v>
      </c>
      <c r="B106" s="1">
        <v>45884</v>
      </c>
      <c r="C106" t="s">
        <v>18</v>
      </c>
      <c r="D106" t="s">
        <v>19</v>
      </c>
      <c r="E106" s="3">
        <v>118700</v>
      </c>
      <c r="F106" t="s">
        <v>20</v>
      </c>
      <c r="G106" t="s">
        <v>13</v>
      </c>
      <c r="H106" s="3">
        <v>3000000</v>
      </c>
      <c r="I106" s="3">
        <v>102800</v>
      </c>
      <c r="J106" t="str">
        <f>TEXT(tblExpenses[[#This Row],[Date]],"mmm")</f>
        <v>Aug</v>
      </c>
    </row>
    <row r="107" spans="1:10" x14ac:dyDescent="0.3">
      <c r="A107" t="s">
        <v>136</v>
      </c>
      <c r="B107" s="1">
        <v>45887</v>
      </c>
      <c r="C107" t="s">
        <v>33</v>
      </c>
      <c r="D107" t="s">
        <v>19</v>
      </c>
      <c r="E107" s="3">
        <v>150000</v>
      </c>
      <c r="F107" t="s">
        <v>39</v>
      </c>
      <c r="G107" t="s">
        <v>13</v>
      </c>
      <c r="H107" s="3">
        <v>1200000</v>
      </c>
      <c r="I107" s="3">
        <v>1050000</v>
      </c>
      <c r="J107" t="str">
        <f>TEXT(tblExpenses[[#This Row],[Date]],"mmm")</f>
        <v>Aug</v>
      </c>
    </row>
    <row r="108" spans="1:10" x14ac:dyDescent="0.3">
      <c r="A108" t="s">
        <v>137</v>
      </c>
      <c r="B108" s="1">
        <v>45888</v>
      </c>
      <c r="C108" t="s">
        <v>10</v>
      </c>
      <c r="D108" t="s">
        <v>11</v>
      </c>
      <c r="E108" s="3">
        <v>54900</v>
      </c>
      <c r="F108" t="s">
        <v>12</v>
      </c>
      <c r="G108" t="s">
        <v>13</v>
      </c>
      <c r="H108" s="3">
        <v>2000000</v>
      </c>
      <c r="I108" s="3">
        <v>786300</v>
      </c>
      <c r="J108" t="str">
        <f>TEXT(tblExpenses[[#This Row],[Date]],"mmm")</f>
        <v>Aug</v>
      </c>
    </row>
    <row r="109" spans="1:10" x14ac:dyDescent="0.3">
      <c r="A109" t="s">
        <v>138</v>
      </c>
      <c r="B109" s="1">
        <v>45890</v>
      </c>
      <c r="C109" t="s">
        <v>18</v>
      </c>
      <c r="D109" t="s">
        <v>27</v>
      </c>
      <c r="E109" s="3">
        <v>129300</v>
      </c>
      <c r="F109" t="s">
        <v>41</v>
      </c>
      <c r="G109" t="s">
        <v>13</v>
      </c>
      <c r="H109" s="3">
        <v>3000000</v>
      </c>
      <c r="I109" s="3">
        <v>2337000</v>
      </c>
      <c r="J109" t="str">
        <f>TEXT(tblExpenses[[#This Row],[Date]],"mmm")</f>
        <v>Aug</v>
      </c>
    </row>
    <row r="110" spans="1:10" x14ac:dyDescent="0.3">
      <c r="A110" t="s">
        <v>139</v>
      </c>
      <c r="B110" s="1">
        <v>45891</v>
      </c>
      <c r="C110" t="s">
        <v>22</v>
      </c>
      <c r="D110" t="s">
        <v>64</v>
      </c>
      <c r="E110" s="3">
        <v>76700</v>
      </c>
      <c r="F110" t="s">
        <v>12</v>
      </c>
      <c r="G110" t="s">
        <v>13</v>
      </c>
      <c r="H110" s="3">
        <v>2500000</v>
      </c>
      <c r="I110" s="3">
        <v>303300</v>
      </c>
      <c r="J110" t="str">
        <f>TEXT(tblExpenses[[#This Row],[Date]],"mmm")</f>
        <v>Aug</v>
      </c>
    </row>
    <row r="111" spans="1:10" x14ac:dyDescent="0.3">
      <c r="A111" t="s">
        <v>140</v>
      </c>
      <c r="B111" s="1">
        <v>45891</v>
      </c>
      <c r="C111" t="s">
        <v>15</v>
      </c>
      <c r="D111" t="s">
        <v>19</v>
      </c>
      <c r="E111" s="3">
        <v>38100</v>
      </c>
      <c r="F111" t="s">
        <v>20</v>
      </c>
      <c r="G111" t="s">
        <v>35</v>
      </c>
      <c r="H111" s="3">
        <v>700000</v>
      </c>
      <c r="I111" s="3">
        <v>-1826300</v>
      </c>
      <c r="J111" t="str">
        <f>TEXT(tblExpenses[[#This Row],[Date]],"mmm")</f>
        <v>Aug</v>
      </c>
    </row>
    <row r="112" spans="1:10" x14ac:dyDescent="0.3">
      <c r="A112" t="s">
        <v>141</v>
      </c>
      <c r="B112" s="1">
        <v>45896</v>
      </c>
      <c r="C112" t="s">
        <v>29</v>
      </c>
      <c r="D112" t="s">
        <v>55</v>
      </c>
      <c r="E112" s="3">
        <v>39500</v>
      </c>
      <c r="F112" t="s">
        <v>20</v>
      </c>
      <c r="G112" t="s">
        <v>13</v>
      </c>
      <c r="H112" s="3">
        <v>900000</v>
      </c>
      <c r="I112" s="3">
        <v>-277200</v>
      </c>
      <c r="J112" t="str">
        <f>TEXT(tblExpenses[[#This Row],[Date]],"mmm")</f>
        <v>Aug</v>
      </c>
    </row>
    <row r="113" spans="1:10" x14ac:dyDescent="0.3">
      <c r="A113" t="s">
        <v>142</v>
      </c>
      <c r="B113" s="1">
        <v>45896</v>
      </c>
      <c r="C113" t="s">
        <v>29</v>
      </c>
      <c r="D113" t="s">
        <v>19</v>
      </c>
      <c r="E113" s="3">
        <v>60600</v>
      </c>
      <c r="F113" t="s">
        <v>12</v>
      </c>
      <c r="G113" t="s">
        <v>13</v>
      </c>
      <c r="H113" s="3">
        <v>900000</v>
      </c>
      <c r="I113" s="3">
        <v>-644500</v>
      </c>
      <c r="J113" t="str">
        <f>TEXT(tblExpenses[[#This Row],[Date]],"mmm")</f>
        <v>Aug</v>
      </c>
    </row>
    <row r="114" spans="1:10" x14ac:dyDescent="0.3">
      <c r="A114" t="s">
        <v>143</v>
      </c>
      <c r="B114" s="1">
        <v>45897</v>
      </c>
      <c r="C114" t="s">
        <v>24</v>
      </c>
      <c r="D114" t="s">
        <v>55</v>
      </c>
      <c r="E114" s="3">
        <v>167900</v>
      </c>
      <c r="F114" t="s">
        <v>41</v>
      </c>
      <c r="G114" t="s">
        <v>13</v>
      </c>
      <c r="H114" s="3">
        <v>1800000</v>
      </c>
      <c r="I114" s="3">
        <v>122300</v>
      </c>
      <c r="J114" t="str">
        <f>TEXT(tblExpenses[[#This Row],[Date]],"mmm")</f>
        <v>Aug</v>
      </c>
    </row>
    <row r="115" spans="1:10" x14ac:dyDescent="0.3">
      <c r="A115" t="s">
        <v>144</v>
      </c>
      <c r="B115" s="1">
        <v>45900</v>
      </c>
      <c r="C115" t="s">
        <v>10</v>
      </c>
      <c r="D115" t="s">
        <v>27</v>
      </c>
      <c r="E115" s="3">
        <v>72300</v>
      </c>
      <c r="F115" t="s">
        <v>12</v>
      </c>
      <c r="G115" t="s">
        <v>13</v>
      </c>
      <c r="H115" s="3">
        <v>2000000</v>
      </c>
      <c r="I115" s="3">
        <v>107400</v>
      </c>
      <c r="J115" t="str">
        <f>TEXT(tblExpenses[[#This Row],[Date]],"mmm")</f>
        <v>Aug</v>
      </c>
    </row>
    <row r="116" spans="1:10" x14ac:dyDescent="0.3">
      <c r="A116" t="s">
        <v>145</v>
      </c>
      <c r="B116" s="1">
        <v>45901</v>
      </c>
      <c r="C116" t="s">
        <v>33</v>
      </c>
      <c r="D116" t="s">
        <v>16</v>
      </c>
      <c r="E116" s="3">
        <v>85100</v>
      </c>
      <c r="F116" t="s">
        <v>41</v>
      </c>
      <c r="G116" t="s">
        <v>13</v>
      </c>
      <c r="H116" s="3">
        <v>1200000</v>
      </c>
      <c r="I116" s="3">
        <v>42900</v>
      </c>
      <c r="J116" t="str">
        <f>TEXT(tblExpenses[[#This Row],[Date]],"mmm")</f>
        <v>Sep</v>
      </c>
    </row>
    <row r="117" spans="1:10" x14ac:dyDescent="0.3">
      <c r="A117" t="s">
        <v>146</v>
      </c>
      <c r="B117" s="1">
        <v>45906</v>
      </c>
      <c r="C117" t="s">
        <v>24</v>
      </c>
      <c r="D117" t="s">
        <v>64</v>
      </c>
      <c r="E117" s="3">
        <v>134200</v>
      </c>
      <c r="F117" t="s">
        <v>41</v>
      </c>
      <c r="G117" t="s">
        <v>13</v>
      </c>
      <c r="H117" s="3">
        <v>1800000</v>
      </c>
      <c r="I117" s="3">
        <v>1151700</v>
      </c>
      <c r="J117" t="str">
        <f>TEXT(tblExpenses[[#This Row],[Date]],"mmm")</f>
        <v>Sep</v>
      </c>
    </row>
    <row r="118" spans="1:10" x14ac:dyDescent="0.3">
      <c r="A118" t="s">
        <v>147</v>
      </c>
      <c r="B118" s="1">
        <v>45907</v>
      </c>
      <c r="C118" t="s">
        <v>24</v>
      </c>
      <c r="D118" t="s">
        <v>38</v>
      </c>
      <c r="E118" s="3">
        <v>55900</v>
      </c>
      <c r="F118" t="s">
        <v>39</v>
      </c>
      <c r="G118" t="s">
        <v>13</v>
      </c>
      <c r="H118" s="3">
        <v>1800000</v>
      </c>
      <c r="I118" s="3">
        <v>1059400</v>
      </c>
      <c r="J118" t="str">
        <f>TEXT(tblExpenses[[#This Row],[Date]],"mmm")</f>
        <v>Sep</v>
      </c>
    </row>
    <row r="119" spans="1:10" x14ac:dyDescent="0.3">
      <c r="A119" t="s">
        <v>148</v>
      </c>
      <c r="B119" s="1">
        <v>45909</v>
      </c>
      <c r="C119" t="s">
        <v>22</v>
      </c>
      <c r="D119" t="s">
        <v>55</v>
      </c>
      <c r="E119" s="3">
        <v>106800</v>
      </c>
      <c r="F119" t="s">
        <v>20</v>
      </c>
      <c r="G119" t="s">
        <v>13</v>
      </c>
      <c r="H119" s="3">
        <v>2500000</v>
      </c>
      <c r="I119" s="3">
        <v>516300</v>
      </c>
      <c r="J119" t="str">
        <f>TEXT(tblExpenses[[#This Row],[Date]],"mmm")</f>
        <v>Sep</v>
      </c>
    </row>
    <row r="120" spans="1:10" x14ac:dyDescent="0.3">
      <c r="A120" t="s">
        <v>149</v>
      </c>
      <c r="B120" s="1">
        <v>45911</v>
      </c>
      <c r="C120" t="s">
        <v>18</v>
      </c>
      <c r="D120" t="s">
        <v>27</v>
      </c>
      <c r="E120" s="3">
        <v>150800</v>
      </c>
      <c r="F120" t="s">
        <v>41</v>
      </c>
      <c r="G120" t="s">
        <v>13</v>
      </c>
      <c r="H120" s="3">
        <v>3000000</v>
      </c>
      <c r="I120" s="3">
        <v>551400</v>
      </c>
      <c r="J120" t="str">
        <f>TEXT(tblExpenses[[#This Row],[Date]],"mmm")</f>
        <v>Sep</v>
      </c>
    </row>
    <row r="121" spans="1:10" x14ac:dyDescent="0.3">
      <c r="A121" t="s">
        <v>150</v>
      </c>
      <c r="B121" s="1">
        <v>45917</v>
      </c>
      <c r="C121" t="s">
        <v>33</v>
      </c>
      <c r="D121" t="s">
        <v>38</v>
      </c>
      <c r="E121" s="3">
        <v>29500</v>
      </c>
      <c r="F121" t="s">
        <v>12</v>
      </c>
      <c r="G121" t="s">
        <v>13</v>
      </c>
      <c r="H121" s="3">
        <v>1200000</v>
      </c>
      <c r="I121" s="3">
        <v>728500</v>
      </c>
      <c r="J121" t="str">
        <f>TEXT(tblExpenses[[#This Row],[Date]],"mmm")</f>
        <v>Sep</v>
      </c>
    </row>
    <row r="122" spans="1:10" x14ac:dyDescent="0.3">
      <c r="A122" t="s">
        <v>151</v>
      </c>
      <c r="B122" s="1">
        <v>45917</v>
      </c>
      <c r="C122" t="s">
        <v>18</v>
      </c>
      <c r="D122" t="s">
        <v>55</v>
      </c>
      <c r="E122" s="3">
        <v>53400</v>
      </c>
      <c r="F122" t="s">
        <v>34</v>
      </c>
      <c r="G122" t="s">
        <v>13</v>
      </c>
      <c r="H122" s="3">
        <v>3000000</v>
      </c>
      <c r="I122" s="3">
        <v>437200</v>
      </c>
      <c r="J122" t="str">
        <f>TEXT(tblExpenses[[#This Row],[Date]],"mmm")</f>
        <v>Sep</v>
      </c>
    </row>
    <row r="123" spans="1:10" x14ac:dyDescent="0.3">
      <c r="A123" t="s">
        <v>152</v>
      </c>
      <c r="B123" s="1">
        <v>45919</v>
      </c>
      <c r="C123" t="s">
        <v>29</v>
      </c>
      <c r="D123" t="s">
        <v>64</v>
      </c>
      <c r="E123" s="3">
        <v>122400</v>
      </c>
      <c r="F123" t="s">
        <v>34</v>
      </c>
      <c r="G123" t="s">
        <v>13</v>
      </c>
      <c r="H123" s="3">
        <v>900000</v>
      </c>
      <c r="I123" s="3">
        <v>123700</v>
      </c>
      <c r="J123" t="str">
        <f>TEXT(tblExpenses[[#This Row],[Date]],"mmm")</f>
        <v>Sep</v>
      </c>
    </row>
    <row r="124" spans="1:10" x14ac:dyDescent="0.3">
      <c r="A124" t="s">
        <v>153</v>
      </c>
      <c r="B124" s="1">
        <v>45925</v>
      </c>
      <c r="C124" t="s">
        <v>10</v>
      </c>
      <c r="D124" t="s">
        <v>19</v>
      </c>
      <c r="E124" s="3">
        <v>114500</v>
      </c>
      <c r="F124" t="s">
        <v>41</v>
      </c>
      <c r="G124" t="s">
        <v>13</v>
      </c>
      <c r="H124" s="3">
        <v>2000000</v>
      </c>
      <c r="I124" s="3">
        <v>841200</v>
      </c>
      <c r="J124" t="str">
        <f>TEXT(tblExpenses[[#This Row],[Date]],"mmm")</f>
        <v>Sep</v>
      </c>
    </row>
    <row r="125" spans="1:10" x14ac:dyDescent="0.3">
      <c r="A125" t="s">
        <v>154</v>
      </c>
      <c r="B125" s="1">
        <v>45928</v>
      </c>
      <c r="C125" t="s">
        <v>18</v>
      </c>
      <c r="D125" t="s">
        <v>55</v>
      </c>
      <c r="E125" s="3">
        <v>126300</v>
      </c>
      <c r="F125" t="s">
        <v>39</v>
      </c>
      <c r="G125" t="s">
        <v>13</v>
      </c>
      <c r="H125" s="3">
        <v>3000000</v>
      </c>
      <c r="I125" s="3">
        <v>2513600</v>
      </c>
      <c r="J125" t="str">
        <f>TEXT(tblExpenses[[#This Row],[Date]],"mmm")</f>
        <v>Sep</v>
      </c>
    </row>
    <row r="126" spans="1:10" x14ac:dyDescent="0.3">
      <c r="A126" t="s">
        <v>155</v>
      </c>
      <c r="B126" s="1">
        <v>45929</v>
      </c>
      <c r="C126" t="s">
        <v>22</v>
      </c>
      <c r="D126" t="s">
        <v>25</v>
      </c>
      <c r="E126" s="3">
        <v>91200</v>
      </c>
      <c r="F126" t="s">
        <v>39</v>
      </c>
      <c r="G126" t="s">
        <v>35</v>
      </c>
      <c r="H126" s="3">
        <v>2500000</v>
      </c>
      <c r="I126" s="3">
        <v>1885800</v>
      </c>
      <c r="J126" t="str">
        <f>TEXT(tblExpenses[[#This Row],[Date]],"mmm")</f>
        <v>Sep</v>
      </c>
    </row>
    <row r="127" spans="1:10" x14ac:dyDescent="0.3">
      <c r="A127" t="s">
        <v>156</v>
      </c>
      <c r="B127" s="1">
        <v>45929</v>
      </c>
      <c r="C127" t="s">
        <v>24</v>
      </c>
      <c r="D127" t="s">
        <v>55</v>
      </c>
      <c r="E127" s="3">
        <v>177800</v>
      </c>
      <c r="F127" t="s">
        <v>39</v>
      </c>
      <c r="G127" t="s">
        <v>35</v>
      </c>
      <c r="H127" s="3">
        <v>1800000</v>
      </c>
      <c r="I127" s="3">
        <v>881600</v>
      </c>
      <c r="J127" t="str">
        <f>TEXT(tblExpenses[[#This Row],[Date]],"mmm")</f>
        <v>Sep</v>
      </c>
    </row>
    <row r="128" spans="1:10" x14ac:dyDescent="0.3">
      <c r="A128" t="s">
        <v>157</v>
      </c>
      <c r="B128" s="1">
        <v>45931</v>
      </c>
      <c r="C128" t="s">
        <v>29</v>
      </c>
      <c r="D128" t="s">
        <v>25</v>
      </c>
      <c r="E128" s="3">
        <v>116500</v>
      </c>
      <c r="F128" t="s">
        <v>20</v>
      </c>
      <c r="G128" t="s">
        <v>35</v>
      </c>
      <c r="H128" s="3">
        <v>900000</v>
      </c>
      <c r="I128" s="3">
        <v>-1568800</v>
      </c>
      <c r="J128" t="str">
        <f>TEXT(tblExpenses[[#This Row],[Date]],"mmm")</f>
        <v>Oct</v>
      </c>
    </row>
    <row r="129" spans="1:10" x14ac:dyDescent="0.3">
      <c r="A129" t="s">
        <v>158</v>
      </c>
      <c r="B129" s="1">
        <v>45932</v>
      </c>
      <c r="C129" t="s">
        <v>15</v>
      </c>
      <c r="D129" t="s">
        <v>19</v>
      </c>
      <c r="E129" s="3">
        <v>142500</v>
      </c>
      <c r="F129" t="s">
        <v>34</v>
      </c>
      <c r="G129" t="s">
        <v>13</v>
      </c>
      <c r="H129" s="3">
        <v>700000</v>
      </c>
      <c r="I129" s="3">
        <v>323200</v>
      </c>
      <c r="J129" t="str">
        <f>TEXT(tblExpenses[[#This Row],[Date]],"mmm")</f>
        <v>Oct</v>
      </c>
    </row>
    <row r="130" spans="1:10" x14ac:dyDescent="0.3">
      <c r="A130" t="s">
        <v>159</v>
      </c>
      <c r="B130" s="1">
        <v>45932</v>
      </c>
      <c r="C130" t="s">
        <v>18</v>
      </c>
      <c r="D130" t="s">
        <v>55</v>
      </c>
      <c r="E130" s="3">
        <v>22700</v>
      </c>
      <c r="F130" t="s">
        <v>34</v>
      </c>
      <c r="G130" t="s">
        <v>13</v>
      </c>
      <c r="H130" s="3">
        <v>3000000</v>
      </c>
      <c r="I130" s="3">
        <v>1805000</v>
      </c>
      <c r="J130" t="str">
        <f>TEXT(tblExpenses[[#This Row],[Date]],"mmm")</f>
        <v>Oct</v>
      </c>
    </row>
    <row r="131" spans="1:10" x14ac:dyDescent="0.3">
      <c r="A131" t="s">
        <v>160</v>
      </c>
      <c r="B131" s="1">
        <v>45934</v>
      </c>
      <c r="C131" t="s">
        <v>22</v>
      </c>
      <c r="D131" t="s">
        <v>25</v>
      </c>
      <c r="E131" s="3">
        <v>42600</v>
      </c>
      <c r="F131" t="s">
        <v>39</v>
      </c>
      <c r="G131" t="s">
        <v>13</v>
      </c>
      <c r="H131" s="3">
        <v>2500000</v>
      </c>
      <c r="I131" s="3">
        <v>1182400</v>
      </c>
      <c r="J131" t="str">
        <f>TEXT(tblExpenses[[#This Row],[Date]],"mmm")</f>
        <v>Oct</v>
      </c>
    </row>
    <row r="132" spans="1:10" x14ac:dyDescent="0.3">
      <c r="A132" t="s">
        <v>161</v>
      </c>
      <c r="B132" s="1">
        <v>45935</v>
      </c>
      <c r="C132" t="s">
        <v>22</v>
      </c>
      <c r="D132" t="s">
        <v>25</v>
      </c>
      <c r="E132" s="3">
        <v>12000</v>
      </c>
      <c r="F132" t="s">
        <v>41</v>
      </c>
      <c r="G132" t="s">
        <v>13</v>
      </c>
      <c r="H132" s="3">
        <v>2500000</v>
      </c>
      <c r="I132" s="3">
        <v>1681600</v>
      </c>
      <c r="J132" t="str">
        <f>TEXT(tblExpenses[[#This Row],[Date]],"mmm")</f>
        <v>Oct</v>
      </c>
    </row>
    <row r="133" spans="1:10" x14ac:dyDescent="0.3">
      <c r="A133" t="s">
        <v>162</v>
      </c>
      <c r="B133" s="1">
        <v>45937</v>
      </c>
      <c r="C133" t="s">
        <v>15</v>
      </c>
      <c r="D133" t="s">
        <v>38</v>
      </c>
      <c r="E133" s="3">
        <v>91100</v>
      </c>
      <c r="F133" t="s">
        <v>34</v>
      </c>
      <c r="G133" t="s">
        <v>13</v>
      </c>
      <c r="H133" s="3">
        <v>700000</v>
      </c>
      <c r="I133" s="3">
        <v>-975700</v>
      </c>
      <c r="J133" t="str">
        <f>TEXT(tblExpenses[[#This Row],[Date]],"mmm")</f>
        <v>Oct</v>
      </c>
    </row>
    <row r="134" spans="1:10" x14ac:dyDescent="0.3">
      <c r="A134" t="s">
        <v>163</v>
      </c>
      <c r="B134" s="1">
        <v>45938</v>
      </c>
      <c r="C134" t="s">
        <v>29</v>
      </c>
      <c r="D134" t="s">
        <v>64</v>
      </c>
      <c r="E134" s="3">
        <v>138000</v>
      </c>
      <c r="F134" t="s">
        <v>20</v>
      </c>
      <c r="G134" t="s">
        <v>13</v>
      </c>
      <c r="H134" s="3">
        <v>900000</v>
      </c>
      <c r="I134" s="3">
        <v>-237700</v>
      </c>
      <c r="J134" t="str">
        <f>TEXT(tblExpenses[[#This Row],[Date]],"mmm")</f>
        <v>Oct</v>
      </c>
    </row>
    <row r="135" spans="1:10" x14ac:dyDescent="0.3">
      <c r="A135" t="s">
        <v>164</v>
      </c>
      <c r="B135" s="1">
        <v>45939</v>
      </c>
      <c r="C135" t="s">
        <v>22</v>
      </c>
      <c r="D135" t="s">
        <v>55</v>
      </c>
      <c r="E135" s="3">
        <v>121200</v>
      </c>
      <c r="F135" t="s">
        <v>41</v>
      </c>
      <c r="G135" t="s">
        <v>13</v>
      </c>
      <c r="H135" s="3">
        <v>2500000</v>
      </c>
      <c r="I135" s="3">
        <v>1764600</v>
      </c>
      <c r="J135" t="str">
        <f>TEXT(tblExpenses[[#This Row],[Date]],"mmm")</f>
        <v>Oct</v>
      </c>
    </row>
    <row r="136" spans="1:10" x14ac:dyDescent="0.3">
      <c r="A136" t="s">
        <v>165</v>
      </c>
      <c r="B136" s="1">
        <v>45939</v>
      </c>
      <c r="C136" t="s">
        <v>18</v>
      </c>
      <c r="D136" t="s">
        <v>25</v>
      </c>
      <c r="E136" s="3">
        <v>130500</v>
      </c>
      <c r="F136" t="s">
        <v>34</v>
      </c>
      <c r="G136" t="s">
        <v>13</v>
      </c>
      <c r="H136" s="3">
        <v>3000000</v>
      </c>
      <c r="I136" s="3">
        <v>1117100</v>
      </c>
      <c r="J136" t="str">
        <f>TEXT(tblExpenses[[#This Row],[Date]],"mmm")</f>
        <v>Oct</v>
      </c>
    </row>
    <row r="137" spans="1:10" x14ac:dyDescent="0.3">
      <c r="A137" t="s">
        <v>166</v>
      </c>
      <c r="B137" s="1">
        <v>45939</v>
      </c>
      <c r="C137" t="s">
        <v>24</v>
      </c>
      <c r="D137" t="s">
        <v>19</v>
      </c>
      <c r="E137" s="3">
        <v>81900</v>
      </c>
      <c r="F137" t="s">
        <v>20</v>
      </c>
      <c r="G137" t="s">
        <v>13</v>
      </c>
      <c r="H137" s="3">
        <v>1800000</v>
      </c>
      <c r="I137" s="3">
        <v>-365100</v>
      </c>
      <c r="J137" t="str">
        <f>TEXT(tblExpenses[[#This Row],[Date]],"mmm")</f>
        <v>Oct</v>
      </c>
    </row>
    <row r="138" spans="1:10" x14ac:dyDescent="0.3">
      <c r="A138" t="s">
        <v>167</v>
      </c>
      <c r="B138" s="1">
        <v>45940</v>
      </c>
      <c r="C138" t="s">
        <v>29</v>
      </c>
      <c r="D138" t="s">
        <v>16</v>
      </c>
      <c r="E138" s="3">
        <v>42700</v>
      </c>
      <c r="F138" t="s">
        <v>39</v>
      </c>
      <c r="G138" t="s">
        <v>13</v>
      </c>
      <c r="H138" s="3">
        <v>900000</v>
      </c>
      <c r="I138" s="3">
        <v>-1100200</v>
      </c>
      <c r="J138" t="str">
        <f>TEXT(tblExpenses[[#This Row],[Date]],"mmm")</f>
        <v>Oct</v>
      </c>
    </row>
    <row r="139" spans="1:10" x14ac:dyDescent="0.3">
      <c r="A139" t="s">
        <v>168</v>
      </c>
      <c r="B139" s="1">
        <v>45944</v>
      </c>
      <c r="C139" t="s">
        <v>15</v>
      </c>
      <c r="D139" t="s">
        <v>27</v>
      </c>
      <c r="E139" s="3">
        <v>180200</v>
      </c>
      <c r="F139" t="s">
        <v>12</v>
      </c>
      <c r="G139" t="s">
        <v>35</v>
      </c>
      <c r="H139" s="3">
        <v>700000</v>
      </c>
      <c r="I139" s="3">
        <v>-147400</v>
      </c>
      <c r="J139" t="str">
        <f>TEXT(tblExpenses[[#This Row],[Date]],"mmm")</f>
        <v>Oct</v>
      </c>
    </row>
    <row r="140" spans="1:10" x14ac:dyDescent="0.3">
      <c r="A140" t="s">
        <v>169</v>
      </c>
      <c r="B140" s="1">
        <v>45946</v>
      </c>
      <c r="C140" t="s">
        <v>18</v>
      </c>
      <c r="D140" t="s">
        <v>16</v>
      </c>
      <c r="E140" s="3">
        <v>183900</v>
      </c>
      <c r="F140" t="s">
        <v>39</v>
      </c>
      <c r="G140" t="s">
        <v>13</v>
      </c>
      <c r="H140" s="3">
        <v>3000000</v>
      </c>
      <c r="I140" s="3">
        <v>933200</v>
      </c>
      <c r="J140" t="str">
        <f>TEXT(tblExpenses[[#This Row],[Date]],"mmm")</f>
        <v>Oct</v>
      </c>
    </row>
    <row r="141" spans="1:10" x14ac:dyDescent="0.3">
      <c r="A141" t="s">
        <v>170</v>
      </c>
      <c r="B141" s="1">
        <v>45947</v>
      </c>
      <c r="C141" t="s">
        <v>33</v>
      </c>
      <c r="D141" t="s">
        <v>25</v>
      </c>
      <c r="E141" s="3">
        <v>173000</v>
      </c>
      <c r="F141" t="s">
        <v>12</v>
      </c>
      <c r="G141" t="s">
        <v>13</v>
      </c>
      <c r="H141" s="3">
        <v>1200000</v>
      </c>
      <c r="I141" s="3">
        <v>430100</v>
      </c>
      <c r="J141" t="str">
        <f>TEXT(tblExpenses[[#This Row],[Date]],"mmm")</f>
        <v>Oct</v>
      </c>
    </row>
    <row r="142" spans="1:10" x14ac:dyDescent="0.3">
      <c r="A142" t="s">
        <v>171</v>
      </c>
      <c r="B142" s="1">
        <v>45947</v>
      </c>
      <c r="C142" t="s">
        <v>15</v>
      </c>
      <c r="D142" t="s">
        <v>55</v>
      </c>
      <c r="E142" s="3">
        <v>168600</v>
      </c>
      <c r="F142" t="s">
        <v>20</v>
      </c>
      <c r="G142" t="s">
        <v>13</v>
      </c>
      <c r="H142" s="3">
        <v>700000</v>
      </c>
      <c r="I142" s="3">
        <v>-1994900</v>
      </c>
      <c r="J142" t="str">
        <f>TEXT(tblExpenses[[#This Row],[Date]],"mmm")</f>
        <v>Oct</v>
      </c>
    </row>
    <row r="143" spans="1:10" x14ac:dyDescent="0.3">
      <c r="A143" t="s">
        <v>172</v>
      </c>
      <c r="B143" s="1">
        <v>45949</v>
      </c>
      <c r="C143" t="s">
        <v>24</v>
      </c>
      <c r="D143" t="s">
        <v>55</v>
      </c>
      <c r="E143" s="3">
        <v>115200</v>
      </c>
      <c r="F143" t="s">
        <v>20</v>
      </c>
      <c r="G143" t="s">
        <v>13</v>
      </c>
      <c r="H143" s="3">
        <v>1800000</v>
      </c>
      <c r="I143" s="3">
        <v>766400</v>
      </c>
      <c r="J143" t="str">
        <f>TEXT(tblExpenses[[#This Row],[Date]],"mmm")</f>
        <v>Oct</v>
      </c>
    </row>
    <row r="144" spans="1:10" x14ac:dyDescent="0.3">
      <c r="A144" t="s">
        <v>173</v>
      </c>
      <c r="B144" s="1">
        <v>45954</v>
      </c>
      <c r="C144" t="s">
        <v>33</v>
      </c>
      <c r="D144" t="s">
        <v>25</v>
      </c>
      <c r="E144" s="3">
        <v>86800</v>
      </c>
      <c r="F144" t="s">
        <v>20</v>
      </c>
      <c r="G144" t="s">
        <v>13</v>
      </c>
      <c r="H144" s="3">
        <v>1200000</v>
      </c>
      <c r="I144" s="3">
        <v>146600</v>
      </c>
      <c r="J144" t="str">
        <f>TEXT(tblExpenses[[#This Row],[Date]],"mmm")</f>
        <v>Oct</v>
      </c>
    </row>
    <row r="145" spans="1:10" x14ac:dyDescent="0.3">
      <c r="A145" t="s">
        <v>174</v>
      </c>
      <c r="B145" s="1">
        <v>45954</v>
      </c>
      <c r="C145" t="s">
        <v>10</v>
      </c>
      <c r="D145" t="s">
        <v>11</v>
      </c>
      <c r="E145" s="3">
        <v>160300</v>
      </c>
      <c r="F145" t="s">
        <v>20</v>
      </c>
      <c r="G145" t="s">
        <v>13</v>
      </c>
      <c r="H145" s="3">
        <v>2000000</v>
      </c>
      <c r="I145" s="3">
        <v>179700</v>
      </c>
      <c r="J145" t="str">
        <f>TEXT(tblExpenses[[#This Row],[Date]],"mmm")</f>
        <v>Oct</v>
      </c>
    </row>
    <row r="146" spans="1:10" x14ac:dyDescent="0.3">
      <c r="A146" t="s">
        <v>175</v>
      </c>
      <c r="B146" s="1">
        <v>45955</v>
      </c>
      <c r="C146" t="s">
        <v>18</v>
      </c>
      <c r="D146" t="s">
        <v>11</v>
      </c>
      <c r="E146" s="3">
        <v>103100</v>
      </c>
      <c r="F146" t="s">
        <v>34</v>
      </c>
      <c r="G146" t="s">
        <v>13</v>
      </c>
      <c r="H146" s="3">
        <v>3000000</v>
      </c>
      <c r="I146" s="3">
        <v>1247600</v>
      </c>
      <c r="J146" t="str">
        <f>TEXT(tblExpenses[[#This Row],[Date]],"mmm")</f>
        <v>Oct</v>
      </c>
    </row>
    <row r="147" spans="1:10" x14ac:dyDescent="0.3">
      <c r="A147" t="s">
        <v>176</v>
      </c>
      <c r="B147" s="1">
        <v>45957</v>
      </c>
      <c r="C147" t="s">
        <v>10</v>
      </c>
      <c r="D147" t="s">
        <v>55</v>
      </c>
      <c r="E147" s="3">
        <v>158700</v>
      </c>
      <c r="F147" t="s">
        <v>41</v>
      </c>
      <c r="G147" t="s">
        <v>13</v>
      </c>
      <c r="H147" s="3">
        <v>2000000</v>
      </c>
      <c r="I147" s="3">
        <v>1087000</v>
      </c>
      <c r="J147" t="str">
        <f>TEXT(tblExpenses[[#This Row],[Date]],"mmm")</f>
        <v>Oct</v>
      </c>
    </row>
    <row r="148" spans="1:10" x14ac:dyDescent="0.3">
      <c r="A148" t="s">
        <v>177</v>
      </c>
      <c r="B148" s="1">
        <v>45959</v>
      </c>
      <c r="C148" t="s">
        <v>24</v>
      </c>
      <c r="D148" t="s">
        <v>55</v>
      </c>
      <c r="E148" s="3">
        <v>14500</v>
      </c>
      <c r="F148" t="s">
        <v>39</v>
      </c>
      <c r="G148" t="s">
        <v>13</v>
      </c>
      <c r="H148" s="3">
        <v>1800000</v>
      </c>
      <c r="I148" s="3">
        <v>1285900</v>
      </c>
      <c r="J148" t="str">
        <f>TEXT(tblExpenses[[#This Row],[Date]],"mmm")</f>
        <v>Oct</v>
      </c>
    </row>
    <row r="149" spans="1:10" x14ac:dyDescent="0.3">
      <c r="A149" t="s">
        <v>178</v>
      </c>
      <c r="B149" s="1">
        <v>45959</v>
      </c>
      <c r="C149" t="s">
        <v>15</v>
      </c>
      <c r="D149" t="s">
        <v>19</v>
      </c>
      <c r="E149" s="3">
        <v>181400</v>
      </c>
      <c r="F149" t="s">
        <v>12</v>
      </c>
      <c r="G149" t="s">
        <v>13</v>
      </c>
      <c r="H149" s="3">
        <v>700000</v>
      </c>
      <c r="I149" s="3">
        <v>-1503400</v>
      </c>
      <c r="J149" t="str">
        <f>TEXT(tblExpenses[[#This Row],[Date]],"mmm")</f>
        <v>Oct</v>
      </c>
    </row>
    <row r="150" spans="1:10" x14ac:dyDescent="0.3">
      <c r="A150" t="s">
        <v>179</v>
      </c>
      <c r="B150" s="1">
        <v>45962</v>
      </c>
      <c r="C150" t="s">
        <v>18</v>
      </c>
      <c r="D150" t="s">
        <v>11</v>
      </c>
      <c r="E150" s="3">
        <v>113900</v>
      </c>
      <c r="F150" t="s">
        <v>41</v>
      </c>
      <c r="G150" t="s">
        <v>13</v>
      </c>
      <c r="H150" s="3">
        <v>3000000</v>
      </c>
      <c r="I150" s="3">
        <v>1691100</v>
      </c>
      <c r="J150" t="str">
        <f>TEXT(tblExpenses[[#This Row],[Date]],"mmm")</f>
        <v>Nov</v>
      </c>
    </row>
    <row r="151" spans="1:10" x14ac:dyDescent="0.3">
      <c r="A151" t="s">
        <v>180</v>
      </c>
      <c r="B151" s="1">
        <v>45962</v>
      </c>
      <c r="C151" t="s">
        <v>10</v>
      </c>
      <c r="D151" t="s">
        <v>19</v>
      </c>
      <c r="E151" s="3">
        <v>82100</v>
      </c>
      <c r="F151" t="s">
        <v>20</v>
      </c>
      <c r="G151" t="s">
        <v>13</v>
      </c>
      <c r="H151" s="3">
        <v>2000000</v>
      </c>
      <c r="I151" s="3">
        <v>689600</v>
      </c>
      <c r="J151" t="str">
        <f>TEXT(tblExpenses[[#This Row],[Date]],"mmm")</f>
        <v>Nov</v>
      </c>
    </row>
    <row r="152" spans="1:10" x14ac:dyDescent="0.3">
      <c r="A152" t="s">
        <v>181</v>
      </c>
      <c r="B152" s="1">
        <v>45964</v>
      </c>
      <c r="C152" t="s">
        <v>22</v>
      </c>
      <c r="D152" t="s">
        <v>27</v>
      </c>
      <c r="E152" s="3">
        <v>136300</v>
      </c>
      <c r="F152" t="s">
        <v>41</v>
      </c>
      <c r="G152" t="s">
        <v>13</v>
      </c>
      <c r="H152" s="3">
        <v>2500000</v>
      </c>
      <c r="I152" s="3">
        <v>380000</v>
      </c>
      <c r="J152" t="str">
        <f>TEXT(tblExpenses[[#This Row],[Date]],"mmm")</f>
        <v>Nov</v>
      </c>
    </row>
    <row r="153" spans="1:10" x14ac:dyDescent="0.3">
      <c r="A153" t="s">
        <v>182</v>
      </c>
      <c r="B153" s="1">
        <v>45965</v>
      </c>
      <c r="C153" t="s">
        <v>15</v>
      </c>
      <c r="D153" t="s">
        <v>16</v>
      </c>
      <c r="E153" s="3">
        <v>147600</v>
      </c>
      <c r="F153" t="s">
        <v>41</v>
      </c>
      <c r="G153" t="s">
        <v>13</v>
      </c>
      <c r="H153" s="3">
        <v>700000</v>
      </c>
      <c r="I153" s="3">
        <v>-1322000</v>
      </c>
      <c r="J153" t="str">
        <f>TEXT(tblExpenses[[#This Row],[Date]],"mmm")</f>
        <v>Nov</v>
      </c>
    </row>
    <row r="154" spans="1:10" x14ac:dyDescent="0.3">
      <c r="A154" t="s">
        <v>183</v>
      </c>
      <c r="B154" s="1">
        <v>45967</v>
      </c>
      <c r="C154" t="s">
        <v>18</v>
      </c>
      <c r="D154" t="s">
        <v>55</v>
      </c>
      <c r="E154" s="3">
        <v>135400</v>
      </c>
      <c r="F154" t="s">
        <v>41</v>
      </c>
      <c r="G154" t="s">
        <v>13</v>
      </c>
      <c r="H154" s="3">
        <v>3000000</v>
      </c>
      <c r="I154" s="3">
        <v>2864600</v>
      </c>
      <c r="J154" t="str">
        <f>TEXT(tblExpenses[[#This Row],[Date]],"mmm")</f>
        <v>Nov</v>
      </c>
    </row>
    <row r="155" spans="1:10" x14ac:dyDescent="0.3">
      <c r="A155" t="s">
        <v>184</v>
      </c>
      <c r="B155" s="1">
        <v>45968</v>
      </c>
      <c r="C155" t="s">
        <v>29</v>
      </c>
      <c r="D155" t="s">
        <v>38</v>
      </c>
      <c r="E155" s="3">
        <v>172000</v>
      </c>
      <c r="F155" t="s">
        <v>12</v>
      </c>
      <c r="G155" t="s">
        <v>13</v>
      </c>
      <c r="H155" s="3">
        <v>900000</v>
      </c>
      <c r="I155" s="3">
        <v>655900</v>
      </c>
      <c r="J155" t="str">
        <f>TEXT(tblExpenses[[#This Row],[Date]],"mmm")</f>
        <v>Nov</v>
      </c>
    </row>
    <row r="156" spans="1:10" x14ac:dyDescent="0.3">
      <c r="A156" t="s">
        <v>185</v>
      </c>
      <c r="B156" s="1">
        <v>45976</v>
      </c>
      <c r="C156" t="s">
        <v>24</v>
      </c>
      <c r="D156" t="s">
        <v>38</v>
      </c>
      <c r="E156" s="3">
        <v>24700</v>
      </c>
      <c r="F156" t="s">
        <v>39</v>
      </c>
      <c r="G156" t="s">
        <v>13</v>
      </c>
      <c r="H156" s="3">
        <v>1800000</v>
      </c>
      <c r="I156" s="3">
        <v>97600</v>
      </c>
      <c r="J156" t="str">
        <f>TEXT(tblExpenses[[#This Row],[Date]],"mmm")</f>
        <v>Nov</v>
      </c>
    </row>
    <row r="157" spans="1:10" x14ac:dyDescent="0.3">
      <c r="A157" t="s">
        <v>186</v>
      </c>
      <c r="B157" s="1">
        <v>45976</v>
      </c>
      <c r="C157" t="s">
        <v>15</v>
      </c>
      <c r="D157" t="s">
        <v>11</v>
      </c>
      <c r="E157" s="3">
        <v>116300</v>
      </c>
      <c r="F157" t="s">
        <v>39</v>
      </c>
      <c r="G157" t="s">
        <v>13</v>
      </c>
      <c r="H157" s="3">
        <v>700000</v>
      </c>
      <c r="I157" s="3">
        <v>-1736000</v>
      </c>
      <c r="J157" t="str">
        <f>TEXT(tblExpenses[[#This Row],[Date]],"mmm")</f>
        <v>Nov</v>
      </c>
    </row>
    <row r="158" spans="1:10" x14ac:dyDescent="0.3">
      <c r="A158" t="s">
        <v>187</v>
      </c>
      <c r="B158" s="1">
        <v>45978</v>
      </c>
      <c r="C158" t="s">
        <v>33</v>
      </c>
      <c r="D158" t="s">
        <v>38</v>
      </c>
      <c r="E158" s="3">
        <v>79500</v>
      </c>
      <c r="F158" t="s">
        <v>41</v>
      </c>
      <c r="G158" t="s">
        <v>13</v>
      </c>
      <c r="H158" s="3">
        <v>1200000</v>
      </c>
      <c r="I158" s="3">
        <v>-484600</v>
      </c>
      <c r="J158" t="str">
        <f>TEXT(tblExpenses[[#This Row],[Date]],"mmm")</f>
        <v>Nov</v>
      </c>
    </row>
    <row r="159" spans="1:10" x14ac:dyDescent="0.3">
      <c r="A159" t="s">
        <v>188</v>
      </c>
      <c r="B159" s="1">
        <v>45980</v>
      </c>
      <c r="C159" t="s">
        <v>33</v>
      </c>
      <c r="D159" t="s">
        <v>38</v>
      </c>
      <c r="E159" s="3">
        <v>131700</v>
      </c>
      <c r="F159" t="s">
        <v>34</v>
      </c>
      <c r="G159" t="s">
        <v>13</v>
      </c>
      <c r="H159" s="3">
        <v>1200000</v>
      </c>
      <c r="I159" s="3">
        <v>-616300</v>
      </c>
      <c r="J159" t="str">
        <f>TEXT(tblExpenses[[#This Row],[Date]],"mmm")</f>
        <v>Nov</v>
      </c>
    </row>
    <row r="160" spans="1:10" x14ac:dyDescent="0.3">
      <c r="A160" t="s">
        <v>189</v>
      </c>
      <c r="B160" s="1">
        <v>45982</v>
      </c>
      <c r="C160" t="s">
        <v>15</v>
      </c>
      <c r="D160" t="s">
        <v>19</v>
      </c>
      <c r="E160" s="3">
        <v>94200</v>
      </c>
      <c r="F160" t="s">
        <v>34</v>
      </c>
      <c r="G160" t="s">
        <v>35</v>
      </c>
      <c r="H160" s="3">
        <v>700000</v>
      </c>
      <c r="I160" s="3">
        <v>32800</v>
      </c>
      <c r="J160" t="str">
        <f>TEXT(tblExpenses[[#This Row],[Date]],"mmm")</f>
        <v>Nov</v>
      </c>
    </row>
    <row r="161" spans="1:10" x14ac:dyDescent="0.3">
      <c r="A161" t="s">
        <v>190</v>
      </c>
      <c r="B161" s="1">
        <v>45982</v>
      </c>
      <c r="C161" t="s">
        <v>33</v>
      </c>
      <c r="D161" t="s">
        <v>25</v>
      </c>
      <c r="E161" s="3">
        <v>18600</v>
      </c>
      <c r="F161" t="s">
        <v>12</v>
      </c>
      <c r="G161" t="s">
        <v>13</v>
      </c>
      <c r="H161" s="3">
        <v>1200000</v>
      </c>
      <c r="I161" s="3">
        <v>128000</v>
      </c>
      <c r="J161" t="str">
        <f>TEXT(tblExpenses[[#This Row],[Date]],"mmm")</f>
        <v>Nov</v>
      </c>
    </row>
    <row r="162" spans="1:10" x14ac:dyDescent="0.3">
      <c r="A162" t="s">
        <v>191</v>
      </c>
      <c r="B162" s="1">
        <v>45983</v>
      </c>
      <c r="C162" t="s">
        <v>15</v>
      </c>
      <c r="D162" t="s">
        <v>25</v>
      </c>
      <c r="E162" s="3">
        <v>31300</v>
      </c>
      <c r="F162" t="s">
        <v>34</v>
      </c>
      <c r="G162" t="s">
        <v>13</v>
      </c>
      <c r="H162" s="3">
        <v>700000</v>
      </c>
      <c r="I162" s="3">
        <v>668700</v>
      </c>
      <c r="J162" t="str">
        <f>TEXT(tblExpenses[[#This Row],[Date]],"mmm")</f>
        <v>Nov</v>
      </c>
    </row>
    <row r="163" spans="1:10" x14ac:dyDescent="0.3">
      <c r="A163" t="s">
        <v>192</v>
      </c>
      <c r="B163" s="1">
        <v>45985</v>
      </c>
      <c r="C163" t="s">
        <v>22</v>
      </c>
      <c r="D163" t="s">
        <v>55</v>
      </c>
      <c r="E163" s="3">
        <v>137600</v>
      </c>
      <c r="F163" t="s">
        <v>12</v>
      </c>
      <c r="G163" t="s">
        <v>13</v>
      </c>
      <c r="H163" s="3">
        <v>2500000</v>
      </c>
      <c r="I163" s="3">
        <v>2362400</v>
      </c>
      <c r="J163" t="str">
        <f>TEXT(tblExpenses[[#This Row],[Date]],"mmm")</f>
        <v>Nov</v>
      </c>
    </row>
    <row r="164" spans="1:10" x14ac:dyDescent="0.3">
      <c r="A164" t="s">
        <v>193</v>
      </c>
      <c r="B164" s="1">
        <v>45991</v>
      </c>
      <c r="C164" t="s">
        <v>22</v>
      </c>
      <c r="D164" t="s">
        <v>55</v>
      </c>
      <c r="E164" s="3">
        <v>175800</v>
      </c>
      <c r="F164" t="s">
        <v>12</v>
      </c>
      <c r="G164" t="s">
        <v>13</v>
      </c>
      <c r="H164" s="3">
        <v>2500000</v>
      </c>
      <c r="I164" s="3">
        <v>1006600</v>
      </c>
      <c r="J164" t="str">
        <f>TEXT(tblExpenses[[#This Row],[Date]],"mmm")</f>
        <v>Nov</v>
      </c>
    </row>
    <row r="165" spans="1:10" x14ac:dyDescent="0.3">
      <c r="A165" t="s">
        <v>194</v>
      </c>
      <c r="B165" s="1">
        <v>45995</v>
      </c>
      <c r="C165" t="s">
        <v>29</v>
      </c>
      <c r="D165" t="s">
        <v>25</v>
      </c>
      <c r="E165" s="3">
        <v>79200</v>
      </c>
      <c r="F165" t="s">
        <v>20</v>
      </c>
      <c r="G165" t="s">
        <v>35</v>
      </c>
      <c r="H165" s="3">
        <v>900000</v>
      </c>
      <c r="I165" s="3">
        <v>576700</v>
      </c>
      <c r="J165" t="str">
        <f>TEXT(tblExpenses[[#This Row],[Date]],"mmm")</f>
        <v>Dec</v>
      </c>
    </row>
    <row r="166" spans="1:10" x14ac:dyDescent="0.3">
      <c r="A166" t="s">
        <v>195</v>
      </c>
      <c r="B166" s="1">
        <v>45997</v>
      </c>
      <c r="C166" t="s">
        <v>22</v>
      </c>
      <c r="D166" t="s">
        <v>64</v>
      </c>
      <c r="E166" s="3">
        <v>50000</v>
      </c>
      <c r="F166" t="s">
        <v>39</v>
      </c>
      <c r="G166" t="s">
        <v>13</v>
      </c>
      <c r="H166" s="3">
        <v>2500000</v>
      </c>
      <c r="I166" s="3">
        <v>1516100</v>
      </c>
      <c r="J166" t="str">
        <f>TEXT(tblExpenses[[#This Row],[Date]],"mmm")</f>
        <v>Dec</v>
      </c>
    </row>
    <row r="167" spans="1:10" x14ac:dyDescent="0.3">
      <c r="A167" t="s">
        <v>196</v>
      </c>
      <c r="B167" s="1">
        <v>45997</v>
      </c>
      <c r="C167" t="s">
        <v>15</v>
      </c>
      <c r="D167" t="s">
        <v>16</v>
      </c>
      <c r="E167" s="3">
        <v>133600</v>
      </c>
      <c r="F167" t="s">
        <v>34</v>
      </c>
      <c r="G167" t="s">
        <v>13</v>
      </c>
      <c r="H167" s="3">
        <v>700000</v>
      </c>
      <c r="I167" s="3">
        <v>-569800</v>
      </c>
      <c r="J167" t="str">
        <f>TEXT(tblExpenses[[#This Row],[Date]],"mmm")</f>
        <v>Dec</v>
      </c>
    </row>
    <row r="168" spans="1:10" x14ac:dyDescent="0.3">
      <c r="A168" t="s">
        <v>197</v>
      </c>
      <c r="B168" s="1">
        <v>45999</v>
      </c>
      <c r="C168" t="s">
        <v>29</v>
      </c>
      <c r="D168" t="s">
        <v>25</v>
      </c>
      <c r="E168" s="3">
        <v>75300</v>
      </c>
      <c r="F168" t="s">
        <v>34</v>
      </c>
      <c r="G168" t="s">
        <v>13</v>
      </c>
      <c r="H168" s="3">
        <v>900000</v>
      </c>
      <c r="I168" s="3">
        <v>429200</v>
      </c>
      <c r="J168" t="str">
        <f>TEXT(tblExpenses[[#This Row],[Date]],"mmm")</f>
        <v>Dec</v>
      </c>
    </row>
    <row r="169" spans="1:10" x14ac:dyDescent="0.3">
      <c r="A169" t="s">
        <v>198</v>
      </c>
      <c r="B169" s="1">
        <v>45999</v>
      </c>
      <c r="C169" t="s">
        <v>22</v>
      </c>
      <c r="D169" t="s">
        <v>11</v>
      </c>
      <c r="E169" s="3">
        <v>166900</v>
      </c>
      <c r="F169" t="s">
        <v>41</v>
      </c>
      <c r="G169" t="s">
        <v>13</v>
      </c>
      <c r="H169" s="3">
        <v>2500000</v>
      </c>
      <c r="I169" s="3">
        <v>136400</v>
      </c>
      <c r="J169" t="str">
        <f>TEXT(tblExpenses[[#This Row],[Date]],"mmm")</f>
        <v>Dec</v>
      </c>
    </row>
    <row r="170" spans="1:10" x14ac:dyDescent="0.3">
      <c r="A170" t="s">
        <v>199</v>
      </c>
      <c r="B170" s="1">
        <v>46000</v>
      </c>
      <c r="C170" t="s">
        <v>29</v>
      </c>
      <c r="D170" t="s">
        <v>25</v>
      </c>
      <c r="E170" s="3">
        <v>6800</v>
      </c>
      <c r="F170" t="s">
        <v>34</v>
      </c>
      <c r="G170" t="s">
        <v>13</v>
      </c>
      <c r="H170" s="3">
        <v>900000</v>
      </c>
      <c r="I170" s="3">
        <v>-651300</v>
      </c>
      <c r="J170" t="str">
        <f>TEXT(tblExpenses[[#This Row],[Date]],"mmm")</f>
        <v>Dec</v>
      </c>
    </row>
    <row r="171" spans="1:10" x14ac:dyDescent="0.3">
      <c r="A171" t="s">
        <v>200</v>
      </c>
      <c r="B171" s="1">
        <v>46001</v>
      </c>
      <c r="C171" t="s">
        <v>24</v>
      </c>
      <c r="D171" t="s">
        <v>25</v>
      </c>
      <c r="E171" s="3">
        <v>80600</v>
      </c>
      <c r="F171" t="s">
        <v>34</v>
      </c>
      <c r="G171" t="s">
        <v>13</v>
      </c>
      <c r="H171" s="3">
        <v>1800000</v>
      </c>
      <c r="I171" s="3">
        <v>290200</v>
      </c>
      <c r="J171" t="str">
        <f>TEXT(tblExpenses[[#This Row],[Date]],"mmm")</f>
        <v>Dec</v>
      </c>
    </row>
    <row r="172" spans="1:10" x14ac:dyDescent="0.3">
      <c r="A172" t="s">
        <v>201</v>
      </c>
      <c r="B172" s="1">
        <v>46006</v>
      </c>
      <c r="C172" t="s">
        <v>29</v>
      </c>
      <c r="D172" t="s">
        <v>16</v>
      </c>
      <c r="E172" s="3">
        <v>72100</v>
      </c>
      <c r="F172" t="s">
        <v>41</v>
      </c>
      <c r="G172" t="s">
        <v>35</v>
      </c>
      <c r="H172" s="3">
        <v>900000</v>
      </c>
      <c r="I172" s="3">
        <v>827900</v>
      </c>
      <c r="J172" t="str">
        <f>TEXT(tblExpenses[[#This Row],[Date]],"mmm")</f>
        <v>Dec</v>
      </c>
    </row>
    <row r="173" spans="1:10" x14ac:dyDescent="0.3">
      <c r="A173" t="s">
        <v>202</v>
      </c>
      <c r="B173" s="1">
        <v>46011</v>
      </c>
      <c r="C173" t="s">
        <v>15</v>
      </c>
      <c r="D173" t="s">
        <v>38</v>
      </c>
      <c r="E173" s="3">
        <v>20200</v>
      </c>
      <c r="F173" t="s">
        <v>34</v>
      </c>
      <c r="G173" t="s">
        <v>35</v>
      </c>
      <c r="H173" s="3">
        <v>700000</v>
      </c>
      <c r="I173" s="3">
        <v>-1174400</v>
      </c>
      <c r="J173" t="str">
        <f>TEXT(tblExpenses[[#This Row],[Date]],"mmm")</f>
        <v>Dec</v>
      </c>
    </row>
    <row r="174" spans="1:10" x14ac:dyDescent="0.3">
      <c r="A174" t="s">
        <v>203</v>
      </c>
      <c r="B174" s="1">
        <v>46011</v>
      </c>
      <c r="C174" t="s">
        <v>24</v>
      </c>
      <c r="D174" t="s">
        <v>38</v>
      </c>
      <c r="E174" s="3">
        <v>41200</v>
      </c>
      <c r="F174" t="s">
        <v>20</v>
      </c>
      <c r="G174" t="s">
        <v>13</v>
      </c>
      <c r="H174" s="3">
        <v>1800000</v>
      </c>
      <c r="I174" s="3">
        <v>56400</v>
      </c>
      <c r="J174" t="str">
        <f>TEXT(tblExpenses[[#This Row],[Date]],"mmm")</f>
        <v>Dec</v>
      </c>
    </row>
    <row r="175" spans="1:10" x14ac:dyDescent="0.3">
      <c r="A175" t="s">
        <v>204</v>
      </c>
      <c r="B175" s="1">
        <v>46013</v>
      </c>
      <c r="C175" t="s">
        <v>18</v>
      </c>
      <c r="D175" t="s">
        <v>55</v>
      </c>
      <c r="E175" s="3">
        <v>9900</v>
      </c>
      <c r="F175" t="s">
        <v>39</v>
      </c>
      <c r="G175" t="s">
        <v>13</v>
      </c>
      <c r="H175" s="3">
        <v>3000000</v>
      </c>
      <c r="I175" s="3">
        <v>221500</v>
      </c>
      <c r="J175" t="str">
        <f>TEXT(tblExpenses[[#This Row],[Date]],"mmm")</f>
        <v>Dec</v>
      </c>
    </row>
    <row r="176" spans="1:10" x14ac:dyDescent="0.3">
      <c r="A176" t="s">
        <v>205</v>
      </c>
      <c r="B176" s="1">
        <v>46014</v>
      </c>
      <c r="C176" t="s">
        <v>29</v>
      </c>
      <c r="D176" t="s">
        <v>11</v>
      </c>
      <c r="E176" s="3">
        <v>74800</v>
      </c>
      <c r="F176" t="s">
        <v>12</v>
      </c>
      <c r="G176" t="s">
        <v>13</v>
      </c>
      <c r="H176" s="3">
        <v>900000</v>
      </c>
      <c r="I176" s="3">
        <v>48900</v>
      </c>
      <c r="J176" t="str">
        <f>TEXT(tblExpenses[[#This Row],[Date]],"mmm")</f>
        <v>Dec</v>
      </c>
    </row>
    <row r="177" spans="1:10" x14ac:dyDescent="0.3">
      <c r="A177" t="s">
        <v>206</v>
      </c>
      <c r="B177" s="1">
        <v>46014</v>
      </c>
      <c r="C177" t="s">
        <v>33</v>
      </c>
      <c r="D177" t="s">
        <v>11</v>
      </c>
      <c r="E177" s="3">
        <v>10700</v>
      </c>
      <c r="F177" t="s">
        <v>12</v>
      </c>
      <c r="G177" t="s">
        <v>35</v>
      </c>
      <c r="H177" s="3">
        <v>1200000</v>
      </c>
      <c r="I177" s="3">
        <v>32200</v>
      </c>
      <c r="J177" t="str">
        <f>TEXT(tblExpenses[[#This Row],[Date]],"mmm")</f>
        <v>Dec</v>
      </c>
    </row>
    <row r="178" spans="1:10" x14ac:dyDescent="0.3">
      <c r="A178" t="s">
        <v>207</v>
      </c>
      <c r="B178" s="1">
        <v>46015</v>
      </c>
      <c r="C178" t="s">
        <v>24</v>
      </c>
      <c r="D178" t="s">
        <v>27</v>
      </c>
      <c r="E178" s="3">
        <v>44400</v>
      </c>
      <c r="F178" t="s">
        <v>20</v>
      </c>
      <c r="G178" t="s">
        <v>13</v>
      </c>
      <c r="H178" s="3">
        <v>1800000</v>
      </c>
      <c r="I178" s="3">
        <v>-409500</v>
      </c>
      <c r="J178" t="str">
        <f>TEXT(tblExpenses[[#This Row],[Date]],"mmm")</f>
        <v>Dec</v>
      </c>
    </row>
    <row r="179" spans="1:10" x14ac:dyDescent="0.3">
      <c r="A179" t="s">
        <v>208</v>
      </c>
      <c r="B179" s="1">
        <v>46016</v>
      </c>
      <c r="C179" t="s">
        <v>29</v>
      </c>
      <c r="D179" t="s">
        <v>19</v>
      </c>
      <c r="E179" s="3">
        <v>93300</v>
      </c>
      <c r="F179" t="s">
        <v>20</v>
      </c>
      <c r="G179" t="s">
        <v>13</v>
      </c>
      <c r="H179" s="3">
        <v>900000</v>
      </c>
      <c r="I179" s="3">
        <v>-887900</v>
      </c>
      <c r="J179" t="str">
        <f>TEXT(tblExpenses[[#This Row],[Date]],"mmm")</f>
        <v>Dec</v>
      </c>
    </row>
    <row r="180" spans="1:10" x14ac:dyDescent="0.3">
      <c r="A180" t="s">
        <v>209</v>
      </c>
      <c r="B180" s="1">
        <v>46016</v>
      </c>
      <c r="C180" t="s">
        <v>18</v>
      </c>
      <c r="D180" t="s">
        <v>55</v>
      </c>
      <c r="E180" s="3">
        <v>181000</v>
      </c>
      <c r="F180" t="s">
        <v>20</v>
      </c>
      <c r="G180" t="s">
        <v>13</v>
      </c>
      <c r="H180" s="3">
        <v>3000000</v>
      </c>
      <c r="I180" s="3">
        <v>-78200</v>
      </c>
      <c r="J180" t="str">
        <f>TEXT(tblExpenses[[#This Row],[Date]],"mmm")</f>
        <v>Dec</v>
      </c>
    </row>
    <row r="181" spans="1:10" x14ac:dyDescent="0.3">
      <c r="A181" t="s">
        <v>210</v>
      </c>
      <c r="B181" s="1">
        <v>46018</v>
      </c>
      <c r="C181" t="s">
        <v>18</v>
      </c>
      <c r="D181" t="s">
        <v>55</v>
      </c>
      <c r="E181" s="3">
        <v>124100</v>
      </c>
      <c r="F181" t="s">
        <v>41</v>
      </c>
      <c r="G181" t="s">
        <v>13</v>
      </c>
      <c r="H181" s="3">
        <v>3000000</v>
      </c>
      <c r="I181" s="3">
        <v>2212900</v>
      </c>
      <c r="J181" t="str">
        <f>TEXT(tblExpenses[[#This Row],[Date]],"mmm")</f>
        <v>Dec</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8E8C-E06C-4958-97FF-DDE3AA38F8B7}">
  <sheetPr codeName="Sheet3"/>
  <dimension ref="A3:P62"/>
  <sheetViews>
    <sheetView workbookViewId="0"/>
  </sheetViews>
  <sheetFormatPr defaultRowHeight="14.4" x14ac:dyDescent="0.3"/>
  <cols>
    <col min="1" max="1" width="17.6640625" bestFit="1" customWidth="1"/>
    <col min="2" max="2" width="19" bestFit="1" customWidth="1"/>
    <col min="4" max="4" width="13.44140625" bestFit="1" customWidth="1"/>
    <col min="5" max="5" width="11.88671875" bestFit="1" customWidth="1"/>
    <col min="6" max="6" width="22.33203125" bestFit="1" customWidth="1"/>
    <col min="7" max="7" width="10.88671875" bestFit="1" customWidth="1"/>
    <col min="8" max="8" width="19" bestFit="1" customWidth="1"/>
    <col min="10" max="10" width="11.5546875" bestFit="1" customWidth="1"/>
    <col min="11" max="11" width="19.33203125" bestFit="1" customWidth="1"/>
    <col min="12" max="12" width="18.109375" bestFit="1" customWidth="1"/>
    <col min="13" max="13" width="19" bestFit="1" customWidth="1"/>
    <col min="14" max="14" width="22.33203125" bestFit="1" customWidth="1"/>
    <col min="15" max="15" width="23.33203125" bestFit="1" customWidth="1"/>
    <col min="16" max="16" width="18.44140625" bestFit="1" customWidth="1"/>
  </cols>
  <sheetData>
    <row r="3" spans="1:16" x14ac:dyDescent="0.3">
      <c r="A3" s="7" t="s">
        <v>2</v>
      </c>
      <c r="B3" s="8" t="s">
        <v>213</v>
      </c>
      <c r="D3" s="7" t="s">
        <v>3</v>
      </c>
      <c r="E3" s="8" t="s">
        <v>213</v>
      </c>
      <c r="G3" s="7" t="s">
        <v>211</v>
      </c>
      <c r="H3" s="8" t="s">
        <v>213</v>
      </c>
      <c r="J3" s="6" t="s">
        <v>6</v>
      </c>
      <c r="K3" t="s">
        <v>213</v>
      </c>
      <c r="L3" t="s">
        <v>215</v>
      </c>
      <c r="M3" s="8" t="s">
        <v>213</v>
      </c>
      <c r="N3" s="8" t="s">
        <v>216</v>
      </c>
      <c r="O3" s="8" t="s">
        <v>217</v>
      </c>
      <c r="P3" s="8" t="s">
        <v>215</v>
      </c>
    </row>
    <row r="4" spans="1:16" x14ac:dyDescent="0.3">
      <c r="A4" s="8" t="s">
        <v>15</v>
      </c>
      <c r="B4" s="9">
        <v>153800</v>
      </c>
      <c r="D4" s="8" t="s">
        <v>25</v>
      </c>
      <c r="E4" s="9">
        <v>241900</v>
      </c>
      <c r="G4" s="8" t="s">
        <v>214</v>
      </c>
      <c r="H4" s="9">
        <v>1264100</v>
      </c>
      <c r="J4" t="s">
        <v>35</v>
      </c>
      <c r="K4" s="3">
        <v>182200</v>
      </c>
      <c r="L4" s="2">
        <v>4</v>
      </c>
      <c r="M4" s="9">
        <v>1264100</v>
      </c>
      <c r="N4" s="9">
        <v>27400000</v>
      </c>
      <c r="O4" s="9">
        <v>2577300</v>
      </c>
      <c r="P4" s="11">
        <v>17</v>
      </c>
    </row>
    <row r="5" spans="1:16" x14ac:dyDescent="0.3">
      <c r="A5" s="8" t="s">
        <v>33</v>
      </c>
      <c r="B5" s="9">
        <v>10700</v>
      </c>
      <c r="D5" s="8" t="s">
        <v>27</v>
      </c>
      <c r="E5" s="9">
        <v>44400</v>
      </c>
      <c r="G5" s="8" t="s">
        <v>212</v>
      </c>
      <c r="H5" s="9">
        <v>1264100</v>
      </c>
      <c r="J5" t="s">
        <v>13</v>
      </c>
      <c r="K5" s="3">
        <v>1081900</v>
      </c>
      <c r="L5" s="2">
        <v>13</v>
      </c>
    </row>
    <row r="6" spans="1:16" x14ac:dyDescent="0.3">
      <c r="A6" s="8" t="s">
        <v>29</v>
      </c>
      <c r="B6" s="9">
        <v>401500</v>
      </c>
      <c r="D6" s="8" t="s">
        <v>11</v>
      </c>
      <c r="E6" s="9">
        <v>252400</v>
      </c>
      <c r="J6" t="s">
        <v>212</v>
      </c>
      <c r="K6" s="3">
        <v>1264100</v>
      </c>
      <c r="L6" s="10">
        <v>17</v>
      </c>
    </row>
    <row r="7" spans="1:16" x14ac:dyDescent="0.3">
      <c r="A7" s="8" t="s">
        <v>18</v>
      </c>
      <c r="B7" s="9">
        <v>315000</v>
      </c>
      <c r="D7" s="8" t="s">
        <v>16</v>
      </c>
      <c r="E7" s="9">
        <v>205700</v>
      </c>
    </row>
    <row r="8" spans="1:16" x14ac:dyDescent="0.3">
      <c r="A8" s="8" t="s">
        <v>24</v>
      </c>
      <c r="B8" s="9">
        <v>166200</v>
      </c>
      <c r="D8" s="8" t="s">
        <v>64</v>
      </c>
      <c r="E8" s="9">
        <v>50000</v>
      </c>
    </row>
    <row r="9" spans="1:16" x14ac:dyDescent="0.3">
      <c r="A9" s="8" t="s">
        <v>22</v>
      </c>
      <c r="B9" s="9">
        <v>216900</v>
      </c>
      <c r="D9" s="8" t="s">
        <v>19</v>
      </c>
      <c r="E9" s="9">
        <v>93300</v>
      </c>
    </row>
    <row r="10" spans="1:16" x14ac:dyDescent="0.3">
      <c r="A10" s="8" t="s">
        <v>212</v>
      </c>
      <c r="B10" s="9">
        <v>1264100</v>
      </c>
      <c r="D10" s="8" t="s">
        <v>55</v>
      </c>
      <c r="E10" s="9">
        <v>315000</v>
      </c>
    </row>
    <row r="11" spans="1:16" x14ac:dyDescent="0.3">
      <c r="D11" s="8" t="s">
        <v>38</v>
      </c>
      <c r="E11" s="9">
        <v>61400</v>
      </c>
    </row>
    <row r="12" spans="1:16" x14ac:dyDescent="0.3">
      <c r="D12" s="8" t="s">
        <v>212</v>
      </c>
      <c r="E12" s="9">
        <v>1264100</v>
      </c>
    </row>
    <row r="25" spans="1:6" x14ac:dyDescent="0.3">
      <c r="A25" s="7" t="s">
        <v>5</v>
      </c>
      <c r="B25" s="8" t="s">
        <v>213</v>
      </c>
      <c r="D25" s="7" t="s">
        <v>2</v>
      </c>
      <c r="E25" s="8" t="s">
        <v>218</v>
      </c>
      <c r="F25" s="8" t="s">
        <v>216</v>
      </c>
    </row>
    <row r="26" spans="1:6" x14ac:dyDescent="0.3">
      <c r="A26" s="8" t="s">
        <v>12</v>
      </c>
      <c r="B26" s="9">
        <v>85500</v>
      </c>
      <c r="D26" s="8" t="s">
        <v>15</v>
      </c>
      <c r="E26" s="9">
        <v>153800</v>
      </c>
      <c r="F26" s="9">
        <v>1400000</v>
      </c>
    </row>
    <row r="27" spans="1:6" x14ac:dyDescent="0.3">
      <c r="A27" s="8" t="s">
        <v>34</v>
      </c>
      <c r="B27" s="9">
        <v>316500</v>
      </c>
      <c r="D27" s="8" t="s">
        <v>33</v>
      </c>
      <c r="E27" s="9">
        <v>10700</v>
      </c>
      <c r="F27" s="9">
        <v>1200000</v>
      </c>
    </row>
    <row r="28" spans="1:6" x14ac:dyDescent="0.3">
      <c r="A28" s="8" t="s">
        <v>41</v>
      </c>
      <c r="B28" s="9">
        <v>363100</v>
      </c>
      <c r="D28" s="8" t="s">
        <v>29</v>
      </c>
      <c r="E28" s="9">
        <v>401500</v>
      </c>
      <c r="F28" s="9">
        <v>5400000</v>
      </c>
    </row>
    <row r="29" spans="1:6" x14ac:dyDescent="0.3">
      <c r="A29" s="8" t="s">
        <v>39</v>
      </c>
      <c r="B29" s="9">
        <v>59900</v>
      </c>
      <c r="D29" s="8" t="s">
        <v>18</v>
      </c>
      <c r="E29" s="9">
        <v>315000</v>
      </c>
      <c r="F29" s="9">
        <v>9000000</v>
      </c>
    </row>
    <row r="30" spans="1:6" x14ac:dyDescent="0.3">
      <c r="A30" s="8" t="s">
        <v>20</v>
      </c>
      <c r="B30" s="9">
        <v>439100</v>
      </c>
      <c r="D30" s="8" t="s">
        <v>24</v>
      </c>
      <c r="E30" s="9">
        <v>166200</v>
      </c>
      <c r="F30" s="9">
        <v>5400000</v>
      </c>
    </row>
    <row r="31" spans="1:6" x14ac:dyDescent="0.3">
      <c r="A31" s="8" t="s">
        <v>212</v>
      </c>
      <c r="B31" s="9">
        <v>1264100</v>
      </c>
      <c r="D31" s="8" t="s">
        <v>22</v>
      </c>
      <c r="E31" s="9">
        <v>216900</v>
      </c>
      <c r="F31" s="9">
        <v>5000000</v>
      </c>
    </row>
    <row r="32" spans="1:6" x14ac:dyDescent="0.3">
      <c r="D32" s="8" t="s">
        <v>212</v>
      </c>
      <c r="E32" s="9">
        <v>1264100</v>
      </c>
      <c r="F32" s="9">
        <v>27400000</v>
      </c>
    </row>
    <row r="50" spans="1:15" x14ac:dyDescent="0.3">
      <c r="A50" t="s">
        <v>2</v>
      </c>
      <c r="B50" t="s">
        <v>219</v>
      </c>
      <c r="D50" t="s">
        <v>3</v>
      </c>
      <c r="E50" t="s">
        <v>219</v>
      </c>
      <c r="G50" t="s">
        <v>211</v>
      </c>
      <c r="H50" t="s">
        <v>219</v>
      </c>
      <c r="J50" t="s">
        <v>5</v>
      </c>
      <c r="K50" t="s">
        <v>219</v>
      </c>
      <c r="M50" t="s">
        <v>2</v>
      </c>
      <c r="N50" t="s">
        <v>218</v>
      </c>
      <c r="O50" t="s">
        <v>7</v>
      </c>
    </row>
    <row r="51" spans="1:15" x14ac:dyDescent="0.3">
      <c r="A51" t="str">
        <f>Pivot!$A$4</f>
        <v>Admin</v>
      </c>
      <c r="B51" s="3">
        <f>Pivot!$B$4</f>
        <v>153800</v>
      </c>
      <c r="D51" t="str">
        <f>Pivot!$D$4</f>
        <v>Client Entertainment</v>
      </c>
      <c r="E51" s="3">
        <f>Pivot!$E$4</f>
        <v>241900</v>
      </c>
      <c r="G51" t="str">
        <f>Pivot!$G$4</f>
        <v>Dec</v>
      </c>
      <c r="H51" s="3">
        <f>Pivot!$H$4</f>
        <v>1264100</v>
      </c>
      <c r="J51" t="str">
        <f>Pivot!$A$26</f>
        <v>Bank Transfer</v>
      </c>
      <c r="K51" s="3">
        <f>Pivot!$B$26</f>
        <v>85500</v>
      </c>
      <c r="M51" t="str">
        <f>Pivot!$D$26</f>
        <v>Admin</v>
      </c>
      <c r="N51" s="3">
        <f>Pivot!$E$26</f>
        <v>153800</v>
      </c>
      <c r="O51" s="3">
        <f>Pivot!$F$26</f>
        <v>1400000</v>
      </c>
    </row>
    <row r="52" spans="1:15" x14ac:dyDescent="0.3">
      <c r="A52" t="str">
        <f>Pivot!$A$5</f>
        <v>Finance</v>
      </c>
      <c r="B52" s="3">
        <f>Pivot!$B$5</f>
        <v>10700</v>
      </c>
      <c r="D52" t="str">
        <f>Pivot!$D$5</f>
        <v>Equipment</v>
      </c>
      <c r="E52" s="3">
        <f>Pivot!$E$5</f>
        <v>44400</v>
      </c>
      <c r="G52" t="str">
        <f>Pivot!$G$5</f>
        <v>Grand Total</v>
      </c>
      <c r="H52" s="3">
        <f>Pivot!$H$5</f>
        <v>1264100</v>
      </c>
      <c r="J52" t="str">
        <f>Pivot!$A$27</f>
        <v>Cash</v>
      </c>
      <c r="K52" s="3">
        <f>Pivot!$B$27</f>
        <v>316500</v>
      </c>
      <c r="M52" t="str">
        <f>Pivot!$D$27</f>
        <v>Finance</v>
      </c>
      <c r="N52" s="3">
        <f>Pivot!$E$27</f>
        <v>10700</v>
      </c>
      <c r="O52" s="3">
        <f>Pivot!$F$27</f>
        <v>1200000</v>
      </c>
    </row>
    <row r="53" spans="1:15" x14ac:dyDescent="0.3">
      <c r="A53" t="str">
        <f>Pivot!$A$6</f>
        <v>HR</v>
      </c>
      <c r="B53" s="3">
        <f>Pivot!$B$6</f>
        <v>401500</v>
      </c>
      <c r="D53" t="str">
        <f>Pivot!$D$6</f>
        <v>Miscellaneous</v>
      </c>
      <c r="E53" s="3">
        <f>Pivot!$E$6</f>
        <v>252400</v>
      </c>
      <c r="G53">
        <f>Pivot!$G$6</f>
        <v>0</v>
      </c>
      <c r="H53" s="3">
        <f>Pivot!$H$6</f>
        <v>0</v>
      </c>
      <c r="J53" t="str">
        <f>Pivot!$A$28</f>
        <v>Cheque</v>
      </c>
      <c r="K53" s="3">
        <f>Pivot!$B$28</f>
        <v>363100</v>
      </c>
      <c r="M53" t="str">
        <f>Pivot!$D$28</f>
        <v>HR</v>
      </c>
      <c r="N53" s="3">
        <f>Pivot!$E$28</f>
        <v>401500</v>
      </c>
      <c r="O53" s="3">
        <f>Pivot!$F$28</f>
        <v>5400000</v>
      </c>
    </row>
    <row r="54" spans="1:15" x14ac:dyDescent="0.3">
      <c r="A54" t="str">
        <f>Pivot!$A$7</f>
        <v>IT</v>
      </c>
      <c r="B54" s="3">
        <f>Pivot!$B$7</f>
        <v>315000</v>
      </c>
      <c r="D54" t="str">
        <f>Pivot!$D$7</f>
        <v>Office Supplies</v>
      </c>
      <c r="E54" s="3">
        <f>Pivot!$E$7</f>
        <v>205700</v>
      </c>
      <c r="G54">
        <f>Pivot!$G$7</f>
        <v>0</v>
      </c>
      <c r="H54" s="3">
        <f>Pivot!$H$7</f>
        <v>0</v>
      </c>
      <c r="J54" t="str">
        <f>Pivot!$A$29</f>
        <v>Credit Card</v>
      </c>
      <c r="K54" s="3">
        <f>Pivot!$B$29</f>
        <v>59900</v>
      </c>
      <c r="M54" t="str">
        <f>Pivot!$D$29</f>
        <v>IT</v>
      </c>
      <c r="N54" s="3">
        <f>Pivot!$E$29</f>
        <v>315000</v>
      </c>
      <c r="O54" s="3">
        <f>Pivot!$F$29</f>
        <v>9000000</v>
      </c>
    </row>
    <row r="55" spans="1:15" x14ac:dyDescent="0.3">
      <c r="A55" t="str">
        <f>Pivot!$A$8</f>
        <v>Marketing</v>
      </c>
      <c r="B55" s="3">
        <f>Pivot!$B$8</f>
        <v>166200</v>
      </c>
      <c r="D55" t="str">
        <f>Pivot!$D$8</f>
        <v>Software</v>
      </c>
      <c r="E55" s="3">
        <f>Pivot!$E$8</f>
        <v>50000</v>
      </c>
      <c r="G55">
        <f>Pivot!$G$8</f>
        <v>0</v>
      </c>
      <c r="H55" s="3">
        <f>Pivot!$H$8</f>
        <v>0</v>
      </c>
      <c r="J55" t="str">
        <f>Pivot!$A$30</f>
        <v>UPI</v>
      </c>
      <c r="K55" s="3">
        <f>Pivot!$B$30</f>
        <v>439100</v>
      </c>
      <c r="M55" t="str">
        <f>Pivot!$D$30</f>
        <v>Marketing</v>
      </c>
      <c r="N55" s="3">
        <f>Pivot!$E$30</f>
        <v>166200</v>
      </c>
      <c r="O55" s="3">
        <f>Pivot!$F$30</f>
        <v>5400000</v>
      </c>
    </row>
    <row r="56" spans="1:15" x14ac:dyDescent="0.3">
      <c r="A56" t="str">
        <f>Pivot!$A$9</f>
        <v>Sales</v>
      </c>
      <c r="B56" s="3">
        <f>Pivot!$B$9</f>
        <v>216900</v>
      </c>
      <c r="D56" t="str">
        <f>Pivot!$D$9</f>
        <v>Training</v>
      </c>
      <c r="E56" s="3">
        <f>Pivot!$E$9</f>
        <v>93300</v>
      </c>
      <c r="G56">
        <f>Pivot!$G$9</f>
        <v>0</v>
      </c>
      <c r="H56" s="3">
        <f>Pivot!$H$9</f>
        <v>0</v>
      </c>
      <c r="M56" t="str">
        <f>Pivot!$D$31</f>
        <v>Sales</v>
      </c>
      <c r="N56" s="3">
        <f>Pivot!$E$31</f>
        <v>216900</v>
      </c>
      <c r="O56" s="3">
        <f>Pivot!$F$31</f>
        <v>5000000</v>
      </c>
    </row>
    <row r="57" spans="1:15" x14ac:dyDescent="0.3">
      <c r="A57" t="str">
        <f>Pivot!$A$10</f>
        <v>Grand Total</v>
      </c>
      <c r="B57" s="3">
        <f>Pivot!$B$10</f>
        <v>1264100</v>
      </c>
      <c r="D57" t="str">
        <f>Pivot!$D$10</f>
        <v>Travel</v>
      </c>
      <c r="E57" s="3">
        <f>Pivot!$E$10</f>
        <v>315000</v>
      </c>
      <c r="G57">
        <f>Pivot!$G$10</f>
        <v>0</v>
      </c>
      <c r="H57" s="3">
        <f>Pivot!$H$10</f>
        <v>0</v>
      </c>
      <c r="M57" t="str">
        <f>Pivot!$D$32</f>
        <v>Grand Total</v>
      </c>
      <c r="N57" s="3">
        <f>Pivot!$E$32</f>
        <v>1264100</v>
      </c>
      <c r="O57" s="3">
        <f>Pivot!$F$32</f>
        <v>27400000</v>
      </c>
    </row>
    <row r="58" spans="1:15" x14ac:dyDescent="0.3">
      <c r="D58" t="str">
        <f>Pivot!$D$11</f>
        <v>Utilities</v>
      </c>
      <c r="E58" s="3">
        <f>Pivot!$E$11</f>
        <v>61400</v>
      </c>
      <c r="G58">
        <f>Pivot!$G$11</f>
        <v>0</v>
      </c>
      <c r="H58" s="3">
        <f>Pivot!$H$11</f>
        <v>0</v>
      </c>
    </row>
    <row r="59" spans="1:15" x14ac:dyDescent="0.3">
      <c r="G59">
        <f>Pivot!$G$12</f>
        <v>0</v>
      </c>
      <c r="H59" s="3">
        <f>Pivot!$H$12</f>
        <v>0</v>
      </c>
    </row>
    <row r="60" spans="1:15" x14ac:dyDescent="0.3">
      <c r="G60">
        <f>Pivot!$G$13</f>
        <v>0</v>
      </c>
      <c r="H60" s="3">
        <f>Pivot!$H$13</f>
        <v>0</v>
      </c>
    </row>
    <row r="61" spans="1:15" x14ac:dyDescent="0.3">
      <c r="G61">
        <f>Pivot!$G$14</f>
        <v>0</v>
      </c>
      <c r="H61" s="3">
        <f>Pivot!$H$14</f>
        <v>0</v>
      </c>
    </row>
    <row r="62" spans="1:15" x14ac:dyDescent="0.3">
      <c r="G62">
        <f>Pivot!$G$15</f>
        <v>0</v>
      </c>
      <c r="H62" s="3">
        <f>Pivot!$H$15</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singhchauhanutkarsh3@outlook.com</cp:lastModifiedBy>
  <cp:revision>0</cp:revision>
  <dcterms:created xsi:type="dcterms:W3CDTF">2026-08-22T10:29:45Z</dcterms:created>
  <dcterms:modified xsi:type="dcterms:W3CDTF">2026-08-22T11:09:15Z</dcterms:modified>
  <dc:language>en-US</dc:language>
</cp:coreProperties>
</file>